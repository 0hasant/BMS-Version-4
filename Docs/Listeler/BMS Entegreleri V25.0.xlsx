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euedutr-my.sharepoint.com/personal/turan_hasan_ogr_deu_edu_tr/Documents/1-Solar Team Solaris_Hasan Turan/Electronics/1-BMS/BMS PROJECT ONE/Listeler/"/>
    </mc:Choice>
  </mc:AlternateContent>
  <xr:revisionPtr revIDLastSave="182" documentId="11_F25DC773A252ABDACC10485ED1DD7BEA5ADE58E6" xr6:coauthVersionLast="47" xr6:coauthVersionMax="47" xr10:uidLastSave="{1335214F-5D53-4C75-8BC1-1F1C3129326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</calcChain>
</file>

<file path=xl/sharedStrings.xml><?xml version="1.0" encoding="utf-8"?>
<sst xmlns="http://schemas.openxmlformats.org/spreadsheetml/2006/main" count="58" uniqueCount="48">
  <si>
    <t>Desteklenen Hücre Sayısı</t>
  </si>
  <si>
    <t>Soc Desteği</t>
  </si>
  <si>
    <t>İnternal Regulator</t>
  </si>
  <si>
    <t>Hücre Okuma Hassasiyeti</t>
  </si>
  <si>
    <t>Diğer Özelikler</t>
  </si>
  <si>
    <t>Monolithic Power Systems Inc.</t>
  </si>
  <si>
    <t>MP2791DFP-0002-T</t>
  </si>
  <si>
    <t>Ürün Adı(Digi Key)</t>
  </si>
  <si>
    <t>Şirket(Data Sheet)</t>
  </si>
  <si>
    <t>Fiyat</t>
  </si>
  <si>
    <t>Cloumb Counter</t>
  </si>
  <si>
    <t>Error &lt;±0.5%</t>
  </si>
  <si>
    <t>3.3V and 5V LDOs</t>
  </si>
  <si>
    <t>Hardware can be adjsut for OV-OC Protec.</t>
  </si>
  <si>
    <t>With MPF42790(no stock)</t>
  </si>
  <si>
    <t>7-16</t>
  </si>
  <si>
    <t>Error &lt;5mV (at 25°)</t>
  </si>
  <si>
    <t>Texas Instruments</t>
  </si>
  <si>
    <t>No</t>
  </si>
  <si>
    <t>error &lt; 1 µV (typical)</t>
  </si>
  <si>
    <t xml:space="preserve">3.3V and 5V </t>
  </si>
  <si>
    <t>Error&lt; 10 mV (typical)</t>
  </si>
  <si>
    <t>3-16</t>
  </si>
  <si>
    <t>BQ76952PFBR</t>
  </si>
  <si>
    <t>TLE9012DQUXUMA1</t>
  </si>
  <si>
    <t>Infineon Technologies</t>
  </si>
  <si>
    <t>1-12</t>
  </si>
  <si>
    <t>±0.2 mV</t>
  </si>
  <si>
    <t>3.3V</t>
  </si>
  <si>
    <t>Analog Devices Inc./Maxim Integrated</t>
  </si>
  <si>
    <t>14</t>
  </si>
  <si>
    <t>3.3V an 1.8V</t>
  </si>
  <si>
    <t>Battery-Management UART Protocol</t>
  </si>
  <si>
    <t>Error &lt;2.2mV</t>
  </si>
  <si>
    <t>ADES1754GCB/V+</t>
  </si>
  <si>
    <t>L99BM114-TR</t>
  </si>
  <si>
    <t>STMicroelectronics</t>
  </si>
  <si>
    <t>4-14</t>
  </si>
  <si>
    <t>use cloumb and voltage</t>
  </si>
  <si>
    <t>18-bit ADC</t>
  </si>
  <si>
    <t>Two 5 V regulator</t>
  </si>
  <si>
    <t>Error &lt;2mV</t>
  </si>
  <si>
    <t>Battery-Management UART Protocol/Hardware can be adjsut for OV-OC Protec.</t>
  </si>
  <si>
    <t>MAX14920ECB+</t>
  </si>
  <si>
    <t>5V LDO</t>
  </si>
  <si>
    <t>?</t>
  </si>
  <si>
    <t>Aktif Kullanılan Entegre</t>
  </si>
  <si>
    <t>Fiyat Değişimi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</si>
</sst>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49" fontId="0" fillId="0" borderId="0" xfId="0" applyNumberFormat="1" applyAlignment="1">
      <alignment horizontal="right" vertical="center"/>
    </xf>
    <xf numFmtId="8" fontId="0" fillId="0" borderId="0" xfId="0" applyNumberFormat="1"/>
    <xf numFmtId="49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1"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E64ABD-308E-42CF-8F23-480D044BF126}" name="Table1" displayName="Table1" ref="A1:J7" totalsRowShown="0">
  <autoFilter ref="A1:J7" xr:uid="{01E64ABD-308E-42CF-8F23-480D044BF1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4140536-B65A-4DBB-A418-704FB393F6CE}" name="Ürün Adı(Digi Key)"/>
    <tableColumn id="2" xr3:uid="{121AC010-E355-4354-A40E-5471C38DCD2C}" name="Şirket(Data Sheet)"/>
    <tableColumn id="3" xr3:uid="{E7C63B0C-1DC5-43CB-BD4E-19BE2AAAF02B}" name="Desteklenen Hücre Sayısı"/>
    <tableColumn id="4" xr3:uid="{DD179B06-88E3-4FBB-AD72-2BDA8B07643F}" name="Soc Desteği"/>
    <tableColumn id="5" xr3:uid="{5E071ECA-66AF-40FE-A747-4E7955591889}" name="Cloumb Counter"/>
    <tableColumn id="6" xr3:uid="{2FCE32A3-2689-49CF-926B-68F8E4E9FF2D}" name="İnternal Regulator"/>
    <tableColumn id="7" xr3:uid="{668C16BB-CE3D-43D1-B204-0A595D882CB4}" name="Hücre Okuma Hassasiyeti"/>
    <tableColumn id="8" xr3:uid="{7C6C3131-BCC2-48ED-B0B1-E9563E14AF09}" name="Diğer Özelikler"/>
    <tableColumn id="9" xr3:uid="{186E89FF-DDD0-41AA-A91E-69B56546593F}" name="Fiyat"/>
    <tableColumn id="10" xr3:uid="{A4FE772D-06AA-4373-B68A-A68BA1713BC3}" name="Fiyat Değişimi" dataDxfId="0">
      <calculatedColumnFormula>$I$7-Table1[[#This Row],[Fiyat]]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analog-devices-inc-maxim-integrated/ADES1754GCB-V/22156883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www.ti.com/lit/ds/symlink/bq76952.pdf" TargetMode="External"/><Relationship Id="rId7" Type="http://schemas.openxmlformats.org/officeDocument/2006/relationships/hyperlink" Target="https://www.analog.com/media/en/technical-documentation/data-sheets/ades1754-ades155-ades156.pdf" TargetMode="External"/><Relationship Id="rId12" Type="http://schemas.openxmlformats.org/officeDocument/2006/relationships/hyperlink" Target="https://www.digikey.com/en/products/detail/analog-devices-inc-maxim-integrated/max14920ecb/3975758" TargetMode="External"/><Relationship Id="rId2" Type="http://schemas.openxmlformats.org/officeDocument/2006/relationships/hyperlink" Target="https://www.monolithicpower.com/en/documentview/productdocument/index/version/2/document_type/Datasheet/lang/en/sku/MP2787DFP/document_id/9996/" TargetMode="External"/><Relationship Id="rId1" Type="http://schemas.openxmlformats.org/officeDocument/2006/relationships/hyperlink" Target="https://www.digikey.com/en/products/detail/monolithic-power-systems-inc/MP2787DFP-0000-T/22589390" TargetMode="External"/><Relationship Id="rId6" Type="http://schemas.openxmlformats.org/officeDocument/2006/relationships/hyperlink" Target="https://www.infineon.com/assets/row/public/documents/10/49/infineon-tle9012dqu-datasheet-en.pdf?fileId=8ac78c8c7e7124d1017f0c3d27c75737" TargetMode="External"/><Relationship Id="rId11" Type="http://schemas.openxmlformats.org/officeDocument/2006/relationships/hyperlink" Target="https://www.analog.com/media/en/technical-documentation/data-sheets/max14920-max14921.pdf" TargetMode="External"/><Relationship Id="rId5" Type="http://schemas.openxmlformats.org/officeDocument/2006/relationships/hyperlink" Target="https://www.digikey.com/en/products/detail/infineon-technologies/TLE9012DQUXUMA1/15998980" TargetMode="External"/><Relationship Id="rId10" Type="http://schemas.openxmlformats.org/officeDocument/2006/relationships/hyperlink" Target="https://www.st.com/resource/en/datasheet/l99bm114.pdf" TargetMode="External"/><Relationship Id="rId4" Type="http://schemas.openxmlformats.org/officeDocument/2006/relationships/hyperlink" Target="https://www.digikey.com/en/products/detail/texas-instruments/BQ76952PFBR/13427864" TargetMode="External"/><Relationship Id="rId9" Type="http://schemas.openxmlformats.org/officeDocument/2006/relationships/hyperlink" Target="https://www.digikey.com/en/products/detail/stmicroelectronics/L99BM114-TR/24613002?s=N4IgTCBcDaIDIE4ECECyBGdAWEBdAv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I12" sqref="I12"/>
    </sheetView>
  </sheetViews>
  <sheetFormatPr defaultRowHeight="14.4" x14ac:dyDescent="0.3"/>
  <cols>
    <col min="1" max="1" width="18.109375" bestFit="1" customWidth="1"/>
    <col min="2" max="2" width="32.44140625" bestFit="1" customWidth="1"/>
    <col min="3" max="3" width="23.6640625" customWidth="1"/>
    <col min="4" max="4" width="27.6640625" bestFit="1" customWidth="1"/>
    <col min="5" max="5" width="17.77734375" bestFit="1" customWidth="1"/>
    <col min="6" max="6" width="18" customWidth="1"/>
    <col min="7" max="7" width="23.88671875" customWidth="1"/>
    <col min="8" max="8" width="67.5546875" bestFit="1" customWidth="1"/>
    <col min="10" max="10" width="12.44140625" bestFit="1" customWidth="1"/>
  </cols>
  <sheetData>
    <row r="1" spans="1:10" x14ac:dyDescent="0.3">
      <c r="A1" t="s">
        <v>7</v>
      </c>
      <c r="B1" t="s">
        <v>8</v>
      </c>
      <c r="C1" t="s">
        <v>0</v>
      </c>
      <c r="D1" t="s">
        <v>1</v>
      </c>
      <c r="E1" t="s">
        <v>10</v>
      </c>
      <c r="F1" t="s">
        <v>2</v>
      </c>
      <c r="G1" t="s">
        <v>3</v>
      </c>
      <c r="H1" t="s">
        <v>4</v>
      </c>
      <c r="I1" t="s">
        <v>9</v>
      </c>
      <c r="J1" t="s">
        <v>47</v>
      </c>
    </row>
    <row r="2" spans="1:10" x14ac:dyDescent="0.3">
      <c r="A2" s="1" t="s">
        <v>6</v>
      </c>
      <c r="B2" s="1" t="s">
        <v>5</v>
      </c>
      <c r="C2" s="2" t="s">
        <v>15</v>
      </c>
      <c r="D2" t="s">
        <v>14</v>
      </c>
      <c r="E2" t="s">
        <v>11</v>
      </c>
      <c r="F2" t="s">
        <v>12</v>
      </c>
      <c r="G2" t="s">
        <v>16</v>
      </c>
      <c r="H2" t="s">
        <v>13</v>
      </c>
      <c r="I2" s="3">
        <v>3.92</v>
      </c>
      <c r="J2" s="3">
        <f>$I$7-Table1[[#This Row],[Fiyat]]</f>
        <v>10.39</v>
      </c>
    </row>
    <row r="3" spans="1:10" x14ac:dyDescent="0.3">
      <c r="A3" s="1" t="s">
        <v>23</v>
      </c>
      <c r="B3" s="1" t="s">
        <v>17</v>
      </c>
      <c r="C3" s="4" t="s">
        <v>22</v>
      </c>
      <c r="D3" t="s">
        <v>18</v>
      </c>
      <c r="E3" t="s">
        <v>19</v>
      </c>
      <c r="F3" t="s">
        <v>20</v>
      </c>
      <c r="G3" t="s">
        <v>21</v>
      </c>
      <c r="H3" t="s">
        <v>13</v>
      </c>
      <c r="I3" s="3">
        <v>4.66</v>
      </c>
      <c r="J3" s="3">
        <f>$I$7-Table1[[#This Row],[Fiyat]]</f>
        <v>9.65</v>
      </c>
    </row>
    <row r="4" spans="1:10" x14ac:dyDescent="0.3">
      <c r="A4" s="1" t="s">
        <v>24</v>
      </c>
      <c r="B4" s="1" t="s">
        <v>25</v>
      </c>
      <c r="C4" s="4" t="s">
        <v>26</v>
      </c>
      <c r="D4" t="s">
        <v>18</v>
      </c>
      <c r="E4" t="s">
        <v>18</v>
      </c>
      <c r="F4" t="s">
        <v>28</v>
      </c>
      <c r="G4" t="s">
        <v>27</v>
      </c>
      <c r="H4" t="s">
        <v>13</v>
      </c>
      <c r="I4" s="3">
        <v>7.15</v>
      </c>
      <c r="J4" s="3">
        <f>$I$7-Table1[[#This Row],[Fiyat]]</f>
        <v>7.16</v>
      </c>
    </row>
    <row r="5" spans="1:10" x14ac:dyDescent="0.3">
      <c r="A5" s="1" t="s">
        <v>34</v>
      </c>
      <c r="B5" s="1" t="s">
        <v>29</v>
      </c>
      <c r="C5" s="4" t="s">
        <v>30</v>
      </c>
      <c r="D5" t="s">
        <v>18</v>
      </c>
      <c r="E5" t="s">
        <v>18</v>
      </c>
      <c r="F5" t="s">
        <v>31</v>
      </c>
      <c r="G5" t="s">
        <v>33</v>
      </c>
      <c r="H5" t="s">
        <v>32</v>
      </c>
      <c r="I5" s="3">
        <v>8.7899999999999991</v>
      </c>
      <c r="J5" s="3">
        <f>$I$7-Table1[[#This Row],[Fiyat]]</f>
        <v>5.5200000000000014</v>
      </c>
    </row>
    <row r="6" spans="1:10" x14ac:dyDescent="0.3">
      <c r="A6" s="1" t="s">
        <v>35</v>
      </c>
      <c r="B6" s="1" t="s">
        <v>36</v>
      </c>
      <c r="C6" s="4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s="3">
        <v>9.15</v>
      </c>
      <c r="J6" s="3">
        <f>$I$7-Table1[[#This Row],[Fiyat]]</f>
        <v>5.16</v>
      </c>
    </row>
    <row r="7" spans="1:10" x14ac:dyDescent="0.3">
      <c r="A7" s="1" t="s">
        <v>43</v>
      </c>
      <c r="B7" s="1" t="s">
        <v>29</v>
      </c>
      <c r="C7" s="4" t="s">
        <v>26</v>
      </c>
      <c r="D7" t="s">
        <v>18</v>
      </c>
      <c r="E7" t="s">
        <v>18</v>
      </c>
      <c r="F7" t="s">
        <v>44</v>
      </c>
      <c r="G7" t="s">
        <v>45</v>
      </c>
      <c r="H7" t="s">
        <v>46</v>
      </c>
      <c r="I7" s="3">
        <v>14.31</v>
      </c>
      <c r="J7" s="3">
        <f>$I$7-Table1[[#This Row],[Fiyat]]</f>
        <v>0</v>
      </c>
    </row>
  </sheetData>
  <phoneticPr fontId="2" type="noConversion"/>
  <conditionalFormatting sqref="J2:J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hyperlinks>
    <hyperlink ref="A2" r:id="rId1" xr:uid="{AE6F691B-CF52-4A0F-91B6-45877FE3A04C}"/>
    <hyperlink ref="B2" r:id="rId2" xr:uid="{45470138-0ABE-43E8-BEAF-4207DBFFA38E}"/>
    <hyperlink ref="B3" r:id="rId3" xr:uid="{DB82DAC0-DDD7-4BF4-9E96-193F47248786}"/>
    <hyperlink ref="A3" r:id="rId4" display="BQ7694202PFBR" xr:uid="{68752207-C1B8-4DCC-BEF2-7A848AC57DA7}"/>
    <hyperlink ref="A4" r:id="rId5" xr:uid="{629A6CF0-59C0-4783-B80C-3DEF65924A7B}"/>
    <hyperlink ref="B4" r:id="rId6" xr:uid="{5B31E1CD-CF95-48E4-B7AB-1AF04B967445}"/>
    <hyperlink ref="B5" r:id="rId7" xr:uid="{4CC496B5-DE21-4823-B9FC-030E81B85676}"/>
    <hyperlink ref="A5" r:id="rId8" xr:uid="{C311435A-D5C5-4569-B6C2-CCAA284E74D1}"/>
    <hyperlink ref="A6" r:id="rId9" xr:uid="{20211520-7C2C-4EDE-8BC7-785BE25A700A}"/>
    <hyperlink ref="B6" r:id="rId10" xr:uid="{BF2CD8F3-8CF2-4C7C-BB7F-AF63776D7CF2}"/>
    <hyperlink ref="B7" r:id="rId11" xr:uid="{FDA1B815-A2DC-4FE3-9D93-FE6947BAFFAF}"/>
    <hyperlink ref="A7" r:id="rId12" xr:uid="{873B3B9B-6359-4E7C-86DD-ED46A1DD4351}"/>
  </hyperlinks>
  <pageMargins left="0.7" right="0.7" top="0.75" bottom="0.75" header="0.3" footer="0.3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hasan hasan</cp:lastModifiedBy>
  <dcterms:created xsi:type="dcterms:W3CDTF">2015-06-05T18:17:20Z</dcterms:created>
  <dcterms:modified xsi:type="dcterms:W3CDTF">2025-07-24T18:33:56Z</dcterms:modified>
</cp:coreProperties>
</file>