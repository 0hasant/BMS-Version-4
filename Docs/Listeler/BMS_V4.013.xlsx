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uedutr-my.sharepoint.com/personal/turan_hasan_ogr_deu_edu_tr/Documents/1-Solar Team Solaris_Hasan Turan/Electronics/BMS/BMS PROJECT ONE/Listeler/"/>
    </mc:Choice>
  </mc:AlternateContent>
  <xr:revisionPtr revIDLastSave="173" documentId="8_{B7964F02-75DF-4C83-9B5E-2EC2FF1A4815}" xr6:coauthVersionLast="47" xr6:coauthVersionMax="47" xr10:uidLastSave="{9B644C95-021B-4F7B-BDD1-BC2FC1E5EA7B}"/>
  <bookViews>
    <workbookView xWindow="-108" yWindow="-108" windowWidth="23256" windowHeight="12456" xr2:uid="{D08B33D4-1FCA-4A94-BA09-03CF7792B3D5}"/>
  </bookViews>
  <sheets>
    <sheet name="BMS_V4.013" sheetId="1" r:id="rId1"/>
  </sheets>
  <definedNames>
    <definedName name="_xlnm.Print_Area" localSheetId="0">Table1[#All]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 l="1"/>
</calcChain>
</file>

<file path=xl/sharedStrings.xml><?xml version="1.0" encoding="utf-8"?>
<sst xmlns="http://schemas.openxmlformats.org/spreadsheetml/2006/main" count="192" uniqueCount="130">
  <si>
    <t>Reference</t>
  </si>
  <si>
    <t>Qty</t>
  </si>
  <si>
    <t>Value</t>
  </si>
  <si>
    <t>Footprint</t>
  </si>
  <si>
    <t>Link</t>
  </si>
  <si>
    <t>Fiyat</t>
  </si>
  <si>
    <t>Total Fiyat</t>
  </si>
  <si>
    <t>C1,C2,C3,C4,C5,C6,C7,C8,C9,C10,C11,C12,C13,C14,C15,C16</t>
  </si>
  <si>
    <t>200n 805</t>
  </si>
  <si>
    <t>Capacitor_SMD:C_0805_2012Metric</t>
  </si>
  <si>
    <t>C17</t>
  </si>
  <si>
    <t>CL31B105KCHNNNE</t>
  </si>
  <si>
    <t>CL31B105KCHNNNE:CAPC3216X180N</t>
  </si>
  <si>
    <t>C18</t>
  </si>
  <si>
    <t>0805 100pF +100VDC</t>
  </si>
  <si>
    <t>0805 Capacitor:CAPC2012X94N</t>
  </si>
  <si>
    <t>C20,C25,C26,C27,C28,C30,C32,C46</t>
  </si>
  <si>
    <t>100nf,0805</t>
  </si>
  <si>
    <t>C21</t>
  </si>
  <si>
    <t>CL21B225KAFNNNE</t>
  </si>
  <si>
    <t>C19,C22</t>
  </si>
  <si>
    <t>100pf 805</t>
  </si>
  <si>
    <t>C23</t>
  </si>
  <si>
    <t>0.47uF</t>
  </si>
  <si>
    <t>Capacitor_SMD:C_0805_2012Metric_Pad1.18x1.45mm_HandSolder</t>
  </si>
  <si>
    <t>C24,C38</t>
  </si>
  <si>
    <t>10uF,0805</t>
  </si>
  <si>
    <t>C29,C31,C47,C48</t>
  </si>
  <si>
    <t>22pf,0805</t>
  </si>
  <si>
    <t>C33</t>
  </si>
  <si>
    <t>3.3nF</t>
  </si>
  <si>
    <t>Capacitor_THT:C_Disc_D10.5mm_W5.0mm_P5.00mm</t>
  </si>
  <si>
    <t>C34,C35</t>
  </si>
  <si>
    <t>30pF</t>
  </si>
  <si>
    <t>C36</t>
  </si>
  <si>
    <t>10pF</t>
  </si>
  <si>
    <t>C37</t>
  </si>
  <si>
    <t>4.7uF,0805</t>
  </si>
  <si>
    <t>C43,C44</t>
  </si>
  <si>
    <t>0805 1u</t>
  </si>
  <si>
    <t>C45</t>
  </si>
  <si>
    <t>805 10n</t>
  </si>
  <si>
    <t>C49</t>
  </si>
  <si>
    <t>4.7uF,1210,100V</t>
  </si>
  <si>
    <t>Capacitor_SMD:C_1210_3225Metric</t>
  </si>
  <si>
    <t>D1</t>
  </si>
  <si>
    <t>BAT46W-7-F</t>
  </si>
  <si>
    <t>BAT46W-7-F:SOD3715X145N</t>
  </si>
  <si>
    <t>D5</t>
  </si>
  <si>
    <t>SamacSys_Parts:DFLS21007</t>
  </si>
  <si>
    <t>IC2</t>
  </si>
  <si>
    <t>TPS73233DBVR</t>
  </si>
  <si>
    <t>SOT95P280X145-5N</t>
  </si>
  <si>
    <t>IC3</t>
  </si>
  <si>
    <t>RAA2118054GP3#JA0</t>
  </si>
  <si>
    <t>SamacSys_Parts:SOT95P280X110-5N</t>
  </si>
  <si>
    <t>J1,J2,J3</t>
  </si>
  <si>
    <t>15EDGRC-3.81-06P-14-00A_H_</t>
  </si>
  <si>
    <t>SamacSys_Parts:SHDRRA6W80P0X381_1X6_2365X920X754P</t>
  </si>
  <si>
    <t>J4</t>
  </si>
  <si>
    <t>DS1013-10SSIB1</t>
  </si>
  <si>
    <t>Connector_IDC:IDC-Header_2x05_P2.54mm_Vertical</t>
  </si>
  <si>
    <t>J5</t>
  </si>
  <si>
    <t>Screw_Terminal_01x04</t>
  </si>
  <si>
    <t>TerminalBlock_Phoenix:TerminalBlock_Phoenix_MKDS-1,5-4-5.08_1x04_P5.08mm_Horizontal</t>
  </si>
  <si>
    <t>J6,J7,J10,J11</t>
  </si>
  <si>
    <t>380-10-103-00-002000</t>
  </si>
  <si>
    <t>HDRV3W51P0X254_1X3_762X254X470P</t>
  </si>
  <si>
    <t>J8,J9</t>
  </si>
  <si>
    <t>K51-00A_H_</t>
  </si>
  <si>
    <t>K5100AH</t>
  </si>
  <si>
    <t>L2</t>
  </si>
  <si>
    <t>NRS4018T220MDGJ</t>
  </si>
  <si>
    <t>SamacSys_Parts:NRS4018T220MDGJ</t>
  </si>
  <si>
    <t>LED1</t>
  </si>
  <si>
    <t>KP-2012SRC-PRV</t>
  </si>
  <si>
    <t>SamacSys_Parts:LEDC2012X110N</t>
  </si>
  <si>
    <t>PS2</t>
  </si>
  <si>
    <t>1S4E_1505S1U</t>
  </si>
  <si>
    <t>1S4E_0303S1U</t>
  </si>
  <si>
    <t>R1,R2,R3,R4,R5,R6,R7,R8,R9,R10,R11,R12,R13,R14,R15,R16,R17</t>
  </si>
  <si>
    <t>0805 20 Ohms 1%</t>
  </si>
  <si>
    <t>SamacSys_Parts:RESC2012X70N</t>
  </si>
  <si>
    <t>R18,R19,R20,R24,R36</t>
  </si>
  <si>
    <t>0805 100 Ohms 1%</t>
  </si>
  <si>
    <t>0805 Resistor:RES_ERA6AHD330V</t>
  </si>
  <si>
    <t>R21</t>
  </si>
  <si>
    <t>BVS-A-R002-1.0</t>
  </si>
  <si>
    <t>PSR400ITQFJ2L00:RESC10052X125N</t>
  </si>
  <si>
    <t>R22,R23,R25</t>
  </si>
  <si>
    <t>10k 0805</t>
  </si>
  <si>
    <t>R26</t>
  </si>
  <si>
    <t>330R</t>
  </si>
  <si>
    <t>Resistor_SMD:R_0805_2012Metric_Pad1.20x1.40mm_HandSolder</t>
  </si>
  <si>
    <t>R27,R28</t>
  </si>
  <si>
    <t>0805,1M,1%</t>
  </si>
  <si>
    <t>R29</t>
  </si>
  <si>
    <t>200R,0805</t>
  </si>
  <si>
    <t>LED_SMD:LED_0805_2012Metric_Pad1.15x1.40mm_HandSolder</t>
  </si>
  <si>
    <t>R30,R37</t>
  </si>
  <si>
    <t>60R</t>
  </si>
  <si>
    <t>R31</t>
  </si>
  <si>
    <t>1k 805</t>
  </si>
  <si>
    <t>R32</t>
  </si>
  <si>
    <t>0R</t>
  </si>
  <si>
    <t>R35</t>
  </si>
  <si>
    <t>4.7k</t>
  </si>
  <si>
    <t>S1,S2</t>
  </si>
  <si>
    <t>DTS-62R-V</t>
  </si>
  <si>
    <t>SamacSys_Parts:DTS62RV</t>
  </si>
  <si>
    <t>U1</t>
  </si>
  <si>
    <t>BQ76952PFBR</t>
  </si>
  <si>
    <t>BQ76952PFBR:QFP50P900X900X120-48N</t>
  </si>
  <si>
    <t>U2</t>
  </si>
  <si>
    <t>REF3033</t>
  </si>
  <si>
    <t>Package_TO_SOT_SMD:SOT-23</t>
  </si>
  <si>
    <t>U3</t>
  </si>
  <si>
    <t>STM32F103C8Tx</t>
  </si>
  <si>
    <t>Package_QFP:LQFP-48_7x7mm_P0.5mm</t>
  </si>
  <si>
    <t>U4</t>
  </si>
  <si>
    <t>ISO1050DUB</t>
  </si>
  <si>
    <t>Package_SO:SOP-8_6.62x9.15mm_P2.54mm</t>
  </si>
  <si>
    <t>Y1</t>
  </si>
  <si>
    <t>RH100-16.000-18-3050-TR</t>
  </si>
  <si>
    <t>RH10016000183050TR</t>
  </si>
  <si>
    <t>Total</t>
  </si>
  <si>
    <t>Yaklaşık Değer</t>
  </si>
  <si>
    <t>Stok Dışı</t>
  </si>
  <si>
    <t>DFLS2100-7</t>
  </si>
  <si>
    <t>DigiKey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</si>
</sst>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₺-41F]#,##0.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6">
    <xf numFmtId="0" fontId="0" fillId="0" borderId="0" xfId="0"/>
    <xf numFmtId="0" fontId="18" fillId="0" borderId="0" xfId="42"/>
    <xf numFmtId="164" fontId="0" fillId="0" borderId="0" xfId="0" applyNumberFormat="1"/>
    <xf numFmtId="0" fontId="0" fillId="33" borderId="0" xfId="0" applyFill="1"/>
    <xf numFmtId="0" fontId="0" fillId="34" borderId="0" xfId="0" applyFill="1"/>
    <xf numFmtId="0" fontId="0" fillId="35" borderId="0" xfId="0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164" formatCode="[$₺-41F]#,##0.00"/>
    </dxf>
    <dxf>
      <numFmt numFmtId="164" formatCode="[$₺-41F]#,##0.00"/>
    </dxf>
    <dxf>
      <numFmt numFmtId="164" formatCode="[$₺-41F]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080697-6A41-4511-8A74-A5781A6CA946}" name="Table1" displayName="Table1" ref="A1:G47" totalsRowCount="1">
  <autoFilter ref="A1:G46" xr:uid="{48080697-6A41-4511-8A74-A5781A6CA94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C3345466-02AA-49A6-8C4F-20369BBBECAF}" name="Reference" totalsRowLabel="Total"/>
    <tableColumn id="2" xr3:uid="{C59C730E-2510-4B4B-A753-22DD9D12AEAF}" name="Qty"/>
    <tableColumn id="3" xr3:uid="{B68C6BA3-B7B1-42AE-8933-A0A12FE967E2}" name="Value"/>
    <tableColumn id="4" xr3:uid="{DBC6612A-4A94-4DF9-834F-17509D329FA4}" name="Footprint"/>
    <tableColumn id="5" xr3:uid="{C11A8238-9736-4D40-A4A6-2D03E926B11D}" name="Link"/>
    <tableColumn id="6" xr3:uid="{9345DA2A-9CF6-46FE-925D-FD6EE55C7418}" name="Fiyat" dataDxfId="2"/>
    <tableColumn id="7" xr3:uid="{DA8CB5B5-F4F8-4495-A53C-CB72A9B8A8A7}" name="Total Fiyat" totalsRowFunction="sum" dataDxfId="1" totalsRowDxfId="0">
      <calculatedColumnFormula>Table1[[#This Row],[Fiyat]]*Table1[[#This Row],[Qty]]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ozdisan.com/p/smt-smd-ve-mlcc-kapasitorler-184/samsung-cl21a475kaqnnne-441542" TargetMode="External"/><Relationship Id="rId18" Type="http://schemas.openxmlformats.org/officeDocument/2006/relationships/hyperlink" Target="https://www.ozdisan.com/p/lineer-voltaj-regulatorleri-279/texas-tps73233dbvr-588532" TargetMode="External"/><Relationship Id="rId26" Type="http://schemas.openxmlformats.org/officeDocument/2006/relationships/hyperlink" Target="https://www.ozdisan.com/p/smt-smd-ve-cip-direncler-194/royalohm-0805s8f200jt5e-453058" TargetMode="External"/><Relationship Id="rId39" Type="http://schemas.openxmlformats.org/officeDocument/2006/relationships/hyperlink" Target="https://www.ozdisan.com/p/voltaj-referans-entegreleri-287/texas-ref3033aidbzr-616752" TargetMode="External"/><Relationship Id="rId21" Type="http://schemas.openxmlformats.org/officeDocument/2006/relationships/hyperlink" Target="https://www.ozdisan.com/p/box-headerlar-295/kls-electronic-l-kls1-202-10-r-b-457444" TargetMode="External"/><Relationship Id="rId34" Type="http://schemas.openxmlformats.org/officeDocument/2006/relationships/hyperlink" Target="https://www.ozdisan.com/p/smt-smd-ve-cip-direncler-194/yageo-rc0805fr-071kl-460155" TargetMode="External"/><Relationship Id="rId42" Type="http://schemas.openxmlformats.org/officeDocument/2006/relationships/hyperlink" Target="https://www.ozdisan.com/p/kristaller-508/raltron-rh100-27-000-18-f-2020-488864" TargetMode="External"/><Relationship Id="rId7" Type="http://schemas.openxmlformats.org/officeDocument/2006/relationships/hyperlink" Target="https://www.ozdisan.com/p/smt-smd-ve-mlcc-kapasitorler-184/samsung-cl21b474kofnnne-10465" TargetMode="External"/><Relationship Id="rId2" Type="http://schemas.openxmlformats.org/officeDocument/2006/relationships/hyperlink" Target="https://www.ozdisan.com/p/smt-smd-ve-mlcc-kapasitorler-184/samsung-cl31b105kchnnne-382908" TargetMode="External"/><Relationship Id="rId16" Type="http://schemas.openxmlformats.org/officeDocument/2006/relationships/hyperlink" Target="https://www.ozdisan.com/p/schottky-diyotlar-385/diodes-bat46w-7-f-982659" TargetMode="External"/><Relationship Id="rId29" Type="http://schemas.openxmlformats.org/officeDocument/2006/relationships/hyperlink" Target="https://www.ozdisan.com/p/smt-smd-ve-cip-direncler-194/viking-crt05f7e1002-1054384" TargetMode="External"/><Relationship Id="rId1" Type="http://schemas.openxmlformats.org/officeDocument/2006/relationships/hyperlink" Target="https://www.ozdisan.com/p/smt-smd-ve-mlcc-kapasitorler-184/samsung-cl21b224kbfnnne-11149" TargetMode="External"/><Relationship Id="rId6" Type="http://schemas.openxmlformats.org/officeDocument/2006/relationships/hyperlink" Target="https://www.ozdisan.com/p/smt-smd-ve-mlcc-kapasitorler-184/yageo-cc0805jrnpo9bn101-576598" TargetMode="External"/><Relationship Id="rId11" Type="http://schemas.openxmlformats.org/officeDocument/2006/relationships/hyperlink" Target="https://www.ozdisan.com/p/smt-smd-ve-mlcc-kapasitorler-184/yageo-cc0805jrnpo9bn330-748296" TargetMode="External"/><Relationship Id="rId24" Type="http://schemas.openxmlformats.org/officeDocument/2006/relationships/hyperlink" Target="https://www.ozdisan.com/p/sinyal-ledler-tek-renkli-361/kingbright-kp-2012src-prv-634977" TargetMode="External"/><Relationship Id="rId32" Type="http://schemas.openxmlformats.org/officeDocument/2006/relationships/hyperlink" Target="https://www.ozdisan.com/p/smt-smd-ve-cip-direncler-194/royalohm-0805s8f2000t5e-404862" TargetMode="External"/><Relationship Id="rId37" Type="http://schemas.openxmlformats.org/officeDocument/2006/relationships/hyperlink" Target="https://www.ozdisan.com/p/tact-sivicler-485/diptronics-dts-62r-v-476750" TargetMode="External"/><Relationship Id="rId40" Type="http://schemas.openxmlformats.org/officeDocument/2006/relationships/hyperlink" Target="https://www.ozdisan.com/p/mikroislemciler-218/stm-stm32f103c8t6-368374" TargetMode="External"/><Relationship Id="rId45" Type="http://schemas.openxmlformats.org/officeDocument/2006/relationships/table" Target="../tables/table1.xml"/><Relationship Id="rId5" Type="http://schemas.openxmlformats.org/officeDocument/2006/relationships/hyperlink" Target="https://www.ozdisan.com/p/smt-smd-ve-mlcc-kapasitorler-184/samsung-cl21b225kafnnne-347149" TargetMode="External"/><Relationship Id="rId15" Type="http://schemas.openxmlformats.org/officeDocument/2006/relationships/hyperlink" Target="https://www.ozdisan.com/p/smt-smd-ve-mlcc-kapasitorler-184/yageo-cc0805kpx7r9bb103-524578" TargetMode="External"/><Relationship Id="rId23" Type="http://schemas.openxmlformats.org/officeDocument/2006/relationships/hyperlink" Target="https://www.ozdisan.com/p/sabit-induktorler-468/taiyo-yuden-nrs4018t220mdgj-732699" TargetMode="External"/><Relationship Id="rId28" Type="http://schemas.openxmlformats.org/officeDocument/2006/relationships/hyperlink" Target="https://www.ozdisan.com/p/hassas-ve-sont-direncler-195/isabellenhutte-bvs-a-r002-1-0-536227" TargetMode="External"/><Relationship Id="rId36" Type="http://schemas.openxmlformats.org/officeDocument/2006/relationships/hyperlink" Target="https://www.ozdisan.com/p/smt-smd-ve-cip-direncler-194/royalohm-cq05s8f4701t5e-588006" TargetMode="External"/><Relationship Id="rId10" Type="http://schemas.openxmlformats.org/officeDocument/2006/relationships/hyperlink" Target="https://www.ozdisan.com/p/smt-smd-ve-mlcc-kapasitorler-184/yageo-cc0805krx7r9bb332-587305" TargetMode="External"/><Relationship Id="rId19" Type="http://schemas.openxmlformats.org/officeDocument/2006/relationships/hyperlink" Target="https://www.digikey.com/en/products/detail/renesas-electronics-corporation/RAA2118054GP3-JA0/22162357" TargetMode="External"/><Relationship Id="rId31" Type="http://schemas.openxmlformats.org/officeDocument/2006/relationships/hyperlink" Target="https://www.ozdisan.com/p/smt-smd-ve-cip-direncler-194/royalohm-0805s8f1004t5e-29700" TargetMode="External"/><Relationship Id="rId44" Type="http://schemas.openxmlformats.org/officeDocument/2006/relationships/printerSettings" Target="../printerSettings/printerSettings1.bin"/><Relationship Id="rId4" Type="http://schemas.openxmlformats.org/officeDocument/2006/relationships/hyperlink" Target="https://www.ozdisan.com/p/smt-smd-ve-mlcc-kapasitorler-184/samsung-cl21b104kbcnnnc-14777" TargetMode="External"/><Relationship Id="rId9" Type="http://schemas.openxmlformats.org/officeDocument/2006/relationships/hyperlink" Target="https://www.ozdisan.com/p/smt-smd-ve-mlcc-kapasitorler-184/samsung-cl21c220jbannnc-5638" TargetMode="External"/><Relationship Id="rId14" Type="http://schemas.openxmlformats.org/officeDocument/2006/relationships/hyperlink" Target="https://www.ozdisan.com/p/smt-smd-ve-mlcc-kapasitorler-184/samsung-cl21b105kofnnne-29632" TargetMode="External"/><Relationship Id="rId22" Type="http://schemas.openxmlformats.org/officeDocument/2006/relationships/hyperlink" Target="https://www.ozdisan.com/p/pin-headerlar-293/connfly-ds1021-1x3sf11-b-445706" TargetMode="External"/><Relationship Id="rId27" Type="http://schemas.openxmlformats.org/officeDocument/2006/relationships/hyperlink" Target="https://www.ozdisan.com/p/smt-smd-ve-cip-direncler-194/royalohm-0805s8f1000t5e-30250" TargetMode="External"/><Relationship Id="rId30" Type="http://schemas.openxmlformats.org/officeDocument/2006/relationships/hyperlink" Target="https://www.ozdisan.com/p/smt-smd-ve-cip-direncler-194/viking-crt05f7e3300-1054389" TargetMode="External"/><Relationship Id="rId35" Type="http://schemas.openxmlformats.org/officeDocument/2006/relationships/hyperlink" Target="https://www.ozdisan.com/p/smt-smd-ve-cip-direncler-194/royalohm-0805s8f0000t5e-339579" TargetMode="External"/><Relationship Id="rId43" Type="http://schemas.openxmlformats.org/officeDocument/2006/relationships/hyperlink" Target="https://www.ozdisan.com/p/pcb-klemensler-410/degson-dg142r-5-08-04p-14-00ah-700305" TargetMode="External"/><Relationship Id="rId8" Type="http://schemas.openxmlformats.org/officeDocument/2006/relationships/hyperlink" Target="https://www.ozdisan.com/p/smt-smd-ve-mlcc-kapasitorler-184/samsung-cl21a106kpfnnne-336384" TargetMode="External"/><Relationship Id="rId3" Type="http://schemas.openxmlformats.org/officeDocument/2006/relationships/hyperlink" Target="https://www.ozdisan.com/p/smt-smd-ve-mlcc-kapasitorler-184/yageo-cc0805jrnpoabn101-748443" TargetMode="External"/><Relationship Id="rId12" Type="http://schemas.openxmlformats.org/officeDocument/2006/relationships/hyperlink" Target="https://www.ozdisan.com/p/smt-smd-ve-mlcc-kapasitorler-184/yageo-cc0805grnpo9bn100-529510" TargetMode="External"/><Relationship Id="rId17" Type="http://schemas.openxmlformats.org/officeDocument/2006/relationships/hyperlink" Target="https://www.ozdisan.com/p/schottky-diyotlar-385/diodes-dfls2100-7-627311" TargetMode="External"/><Relationship Id="rId25" Type="http://schemas.openxmlformats.org/officeDocument/2006/relationships/hyperlink" Target="https://www.digikey.com/en/products/detail/gaptec-electronic/1S4E-1505S1U/13692452" TargetMode="External"/><Relationship Id="rId33" Type="http://schemas.openxmlformats.org/officeDocument/2006/relationships/hyperlink" Target="https://www.ozdisan.com/p/smt-smd-ve-cip-direncler-194/royalohm-0805s8f604jt5e-505356" TargetMode="External"/><Relationship Id="rId38" Type="http://schemas.openxmlformats.org/officeDocument/2006/relationships/hyperlink" Target="https://www.ozdisan.com/p/batarya-yonetimi-entegreleri-272/texas-bq76952pfbr-993252" TargetMode="External"/><Relationship Id="rId20" Type="http://schemas.openxmlformats.org/officeDocument/2006/relationships/hyperlink" Target="https://www.ozdisan.com/p/gecmeli-klemensler-411/golten-15egtrc-3-81-06p-13-00ah-741341" TargetMode="External"/><Relationship Id="rId41" Type="http://schemas.openxmlformats.org/officeDocument/2006/relationships/hyperlink" Target="https://www.ozdisan.com/p/driver-receiver-ve-transceiver-entegreleri-229/texas-iso1050dubr-34827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94841-4F5D-45FA-95F6-188272CB319D}">
  <sheetPr>
    <pageSetUpPr fitToPage="1"/>
  </sheetPr>
  <dimension ref="A1:I48"/>
  <sheetViews>
    <sheetView tabSelected="1" zoomScale="85" zoomScaleNormal="85" workbookViewId="0">
      <selection activeCell="H17" sqref="H17"/>
    </sheetView>
  </sheetViews>
  <sheetFormatPr defaultRowHeight="14.4" x14ac:dyDescent="0.3"/>
  <cols>
    <col min="1" max="1" width="55" bestFit="1" customWidth="1"/>
    <col min="2" max="2" width="5.77734375" customWidth="1"/>
    <col min="3" max="3" width="26.6640625" bestFit="1" customWidth="1"/>
    <col min="4" max="4" width="81.6640625" bestFit="1" customWidth="1"/>
    <col min="5" max="5" width="6.33203125" customWidth="1"/>
    <col min="6" max="6" width="9.21875" style="2" bestFit="1" customWidth="1"/>
    <col min="7" max="7" width="9.6640625" bestFit="1" customWidth="1"/>
    <col min="8" max="8" width="12.88671875" bestFit="1" customWidth="1"/>
    <col min="9" max="9" width="12.66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</row>
    <row r="2" spans="1:9" x14ac:dyDescent="0.3">
      <c r="A2" t="s">
        <v>7</v>
      </c>
      <c r="B2">
        <v>16</v>
      </c>
      <c r="C2" s="3" t="s">
        <v>8</v>
      </c>
      <c r="D2" t="s">
        <v>9</v>
      </c>
      <c r="E2" s="1" t="s">
        <v>4</v>
      </c>
      <c r="F2" s="2">
        <v>0.45195000000000002</v>
      </c>
      <c r="G2" s="2">
        <f>Table1[[#This Row],[Fiyat]]*Table1[[#This Row],[Qty]]</f>
        <v>7.2312000000000003</v>
      </c>
      <c r="I2" s="3" t="s">
        <v>126</v>
      </c>
    </row>
    <row r="3" spans="1:9" x14ac:dyDescent="0.3">
      <c r="A3" t="s">
        <v>10</v>
      </c>
      <c r="B3">
        <v>1</v>
      </c>
      <c r="C3" t="s">
        <v>11</v>
      </c>
      <c r="D3" t="s">
        <v>12</v>
      </c>
      <c r="E3" s="1" t="s">
        <v>4</v>
      </c>
      <c r="F3" s="2">
        <v>1.5508299999999999</v>
      </c>
      <c r="G3" s="2">
        <f>Table1[[#This Row],[Fiyat]]*Table1[[#This Row],[Qty]]</f>
        <v>1.5508299999999999</v>
      </c>
      <c r="I3" s="4" t="s">
        <v>127</v>
      </c>
    </row>
    <row r="4" spans="1:9" x14ac:dyDescent="0.3">
      <c r="A4" t="s">
        <v>13</v>
      </c>
      <c r="B4">
        <v>1</v>
      </c>
      <c r="C4" t="s">
        <v>14</v>
      </c>
      <c r="D4" t="s">
        <v>15</v>
      </c>
      <c r="E4" s="1" t="s">
        <v>4</v>
      </c>
      <c r="F4" s="2">
        <v>1.16787</v>
      </c>
      <c r="G4" s="2">
        <f>Table1[[#This Row],[Fiyat]]*Table1[[#This Row],[Qty]]</f>
        <v>1.16787</v>
      </c>
      <c r="I4" s="5" t="s">
        <v>129</v>
      </c>
    </row>
    <row r="5" spans="1:9" x14ac:dyDescent="0.3">
      <c r="A5" t="s">
        <v>16</v>
      </c>
      <c r="B5">
        <v>8</v>
      </c>
      <c r="C5" t="s">
        <v>17</v>
      </c>
      <c r="D5" t="s">
        <v>15</v>
      </c>
      <c r="E5" s="1" t="s">
        <v>4</v>
      </c>
      <c r="F5" s="2">
        <v>0.43431999999999998</v>
      </c>
      <c r="G5" s="2">
        <f>Table1[[#This Row],[Fiyat]]*Table1[[#This Row],[Qty]]</f>
        <v>3.4745599999999999</v>
      </c>
    </row>
    <row r="6" spans="1:9" x14ac:dyDescent="0.3">
      <c r="A6" t="s">
        <v>18</v>
      </c>
      <c r="B6">
        <v>1</v>
      </c>
      <c r="C6" t="s">
        <v>19</v>
      </c>
      <c r="D6" t="s">
        <v>15</v>
      </c>
      <c r="E6" s="1" t="s">
        <v>4</v>
      </c>
      <c r="F6" s="2">
        <v>0.96330000000000005</v>
      </c>
      <c r="G6" s="2">
        <f>Table1[[#This Row],[Fiyat]]*Table1[[#This Row],[Qty]]</f>
        <v>0.96330000000000005</v>
      </c>
    </row>
    <row r="7" spans="1:9" x14ac:dyDescent="0.3">
      <c r="A7" t="s">
        <v>20</v>
      </c>
      <c r="B7">
        <v>2</v>
      </c>
      <c r="C7" t="s">
        <v>21</v>
      </c>
      <c r="D7" t="s">
        <v>15</v>
      </c>
      <c r="E7" s="1" t="s">
        <v>4</v>
      </c>
      <c r="F7" s="2">
        <v>0.38506000000000001</v>
      </c>
      <c r="G7" s="2">
        <f>Table1[[#This Row],[Fiyat]]*Table1[[#This Row],[Qty]]</f>
        <v>0.77012000000000003</v>
      </c>
    </row>
    <row r="8" spans="1:9" x14ac:dyDescent="0.3">
      <c r="A8" t="s">
        <v>22</v>
      </c>
      <c r="B8">
        <v>1</v>
      </c>
      <c r="C8" t="s">
        <v>23</v>
      </c>
      <c r="D8" t="s">
        <v>24</v>
      </c>
      <c r="E8" s="1" t="s">
        <v>4</v>
      </c>
      <c r="F8" s="2">
        <v>0.46322000000000002</v>
      </c>
      <c r="G8" s="2">
        <f>Table1[[#This Row],[Fiyat]]*Table1[[#This Row],[Qty]]</f>
        <v>0.46322000000000002</v>
      </c>
    </row>
    <row r="9" spans="1:9" x14ac:dyDescent="0.3">
      <c r="A9" t="s">
        <v>25</v>
      </c>
      <c r="B9">
        <v>2</v>
      </c>
      <c r="C9" t="s">
        <v>26</v>
      </c>
      <c r="D9" t="s">
        <v>24</v>
      </c>
      <c r="E9" s="1" t="s">
        <v>4</v>
      </c>
      <c r="F9" s="2">
        <v>0.43786000000000003</v>
      </c>
      <c r="G9" s="2">
        <f>Table1[[#This Row],[Fiyat]]*Table1[[#This Row],[Qty]]</f>
        <v>0.87572000000000005</v>
      </c>
    </row>
    <row r="10" spans="1:9" x14ac:dyDescent="0.3">
      <c r="A10" t="s">
        <v>27</v>
      </c>
      <c r="B10">
        <v>4</v>
      </c>
      <c r="C10" t="s">
        <v>28</v>
      </c>
      <c r="D10" t="s">
        <v>15</v>
      </c>
      <c r="E10" s="1" t="s">
        <v>4</v>
      </c>
      <c r="F10" s="2">
        <v>0.37673000000000001</v>
      </c>
      <c r="G10" s="2">
        <f>Table1[[#This Row],[Fiyat]]*Table1[[#This Row],[Qty]]</f>
        <v>1.50692</v>
      </c>
    </row>
    <row r="11" spans="1:9" x14ac:dyDescent="0.3">
      <c r="A11" t="s">
        <v>29</v>
      </c>
      <c r="B11">
        <v>1</v>
      </c>
      <c r="C11" t="s">
        <v>30</v>
      </c>
      <c r="D11" t="s">
        <v>31</v>
      </c>
      <c r="E11" s="1" t="s">
        <v>4</v>
      </c>
      <c r="F11" s="2">
        <v>0.46550999999999998</v>
      </c>
      <c r="G11" s="2">
        <f>Table1[[#This Row],[Fiyat]]*Table1[[#This Row],[Qty]]</f>
        <v>0.46550999999999998</v>
      </c>
    </row>
    <row r="12" spans="1:9" x14ac:dyDescent="0.3">
      <c r="A12" t="s">
        <v>32</v>
      </c>
      <c r="B12">
        <v>2</v>
      </c>
      <c r="C12" s="3" t="s">
        <v>33</v>
      </c>
      <c r="D12" t="s">
        <v>24</v>
      </c>
      <c r="E12" s="1" t="s">
        <v>4</v>
      </c>
      <c r="F12" s="2">
        <v>0.50749999999999995</v>
      </c>
      <c r="G12" s="2">
        <f>Table1[[#This Row],[Fiyat]]*Table1[[#This Row],[Qty]]</f>
        <v>1.0149999999999999</v>
      </c>
    </row>
    <row r="13" spans="1:9" x14ac:dyDescent="0.3">
      <c r="A13" t="s">
        <v>34</v>
      </c>
      <c r="B13">
        <v>1</v>
      </c>
      <c r="C13" t="s">
        <v>35</v>
      </c>
      <c r="D13" t="s">
        <v>24</v>
      </c>
      <c r="E13" s="1" t="s">
        <v>4</v>
      </c>
      <c r="F13" s="2">
        <v>1.0174099999999999</v>
      </c>
      <c r="G13" s="2">
        <f>Table1[[#This Row],[Fiyat]]*Table1[[#This Row],[Qty]]</f>
        <v>1.0174099999999999</v>
      </c>
    </row>
    <row r="14" spans="1:9" x14ac:dyDescent="0.3">
      <c r="A14" t="s">
        <v>36</v>
      </c>
      <c r="B14">
        <v>1</v>
      </c>
      <c r="C14" t="s">
        <v>37</v>
      </c>
      <c r="D14" t="s">
        <v>15</v>
      </c>
      <c r="E14" s="1" t="s">
        <v>4</v>
      </c>
      <c r="F14" s="2">
        <v>0.77429000000000003</v>
      </c>
      <c r="G14" s="2">
        <f>Table1[[#This Row],[Fiyat]]*Table1[[#This Row],[Qty]]</f>
        <v>0.77429000000000003</v>
      </c>
    </row>
    <row r="15" spans="1:9" x14ac:dyDescent="0.3">
      <c r="A15" t="s">
        <v>38</v>
      </c>
      <c r="B15">
        <v>2</v>
      </c>
      <c r="C15" t="s">
        <v>39</v>
      </c>
      <c r="D15" t="s">
        <v>15</v>
      </c>
      <c r="E15" s="1" t="s">
        <v>4</v>
      </c>
      <c r="F15" s="2">
        <v>0.33444000000000002</v>
      </c>
      <c r="G15" s="2">
        <f>Table1[[#This Row],[Fiyat]]*Table1[[#This Row],[Qty]]</f>
        <v>0.66888000000000003</v>
      </c>
    </row>
    <row r="16" spans="1:9" x14ac:dyDescent="0.3">
      <c r="A16" t="s">
        <v>40</v>
      </c>
      <c r="B16">
        <v>1</v>
      </c>
      <c r="C16" t="s">
        <v>41</v>
      </c>
      <c r="D16" t="s">
        <v>15</v>
      </c>
      <c r="E16" s="1" t="s">
        <v>4</v>
      </c>
      <c r="F16" s="2">
        <v>0.28782000000000002</v>
      </c>
      <c r="G16" s="2">
        <f>Table1[[#This Row],[Fiyat]]*Table1[[#This Row],[Qty]]</f>
        <v>0.28782000000000002</v>
      </c>
    </row>
    <row r="17" spans="1:7" x14ac:dyDescent="0.3">
      <c r="A17" t="s">
        <v>42</v>
      </c>
      <c r="B17">
        <v>1</v>
      </c>
      <c r="C17" s="4" t="s">
        <v>43</v>
      </c>
      <c r="D17" t="s">
        <v>44</v>
      </c>
      <c r="E17" t="s">
        <v>4</v>
      </c>
      <c r="G17" s="2">
        <f>Table1[[#This Row],[Fiyat]]*Table1[[#This Row],[Qty]]</f>
        <v>0</v>
      </c>
    </row>
    <row r="18" spans="1:7" x14ac:dyDescent="0.3">
      <c r="A18" t="s">
        <v>45</v>
      </c>
      <c r="B18">
        <v>1</v>
      </c>
      <c r="C18" t="s">
        <v>46</v>
      </c>
      <c r="D18" t="s">
        <v>47</v>
      </c>
      <c r="E18" s="1" t="s">
        <v>4</v>
      </c>
      <c r="F18" s="2">
        <v>2.4940899999999999</v>
      </c>
      <c r="G18" s="2">
        <f>Table1[[#This Row],[Fiyat]]*Table1[[#This Row],[Qty]]</f>
        <v>2.4940899999999999</v>
      </c>
    </row>
    <row r="19" spans="1:7" x14ac:dyDescent="0.3">
      <c r="A19" t="s">
        <v>48</v>
      </c>
      <c r="B19">
        <v>1</v>
      </c>
      <c r="C19" t="s">
        <v>128</v>
      </c>
      <c r="D19" t="s">
        <v>49</v>
      </c>
      <c r="E19" s="1" t="s">
        <v>4</v>
      </c>
      <c r="F19" s="2">
        <v>13.670199999999999</v>
      </c>
      <c r="G19" s="2">
        <f>Table1[[#This Row],[Fiyat]]*Table1[[#This Row],[Qty]]</f>
        <v>13.670199999999999</v>
      </c>
    </row>
    <row r="20" spans="1:7" x14ac:dyDescent="0.3">
      <c r="A20" t="s">
        <v>50</v>
      </c>
      <c r="B20">
        <v>1</v>
      </c>
      <c r="C20" t="s">
        <v>51</v>
      </c>
      <c r="D20" t="s">
        <v>52</v>
      </c>
      <c r="E20" s="1" t="s">
        <v>4</v>
      </c>
      <c r="F20" s="2">
        <v>37.8352</v>
      </c>
      <c r="G20" s="2">
        <f>Table1[[#This Row],[Fiyat]]*Table1[[#This Row],[Qty]]</f>
        <v>37.8352</v>
      </c>
    </row>
    <row r="21" spans="1:7" x14ac:dyDescent="0.3">
      <c r="A21" t="s">
        <v>53</v>
      </c>
      <c r="B21">
        <v>1</v>
      </c>
      <c r="C21" s="4" t="s">
        <v>54</v>
      </c>
      <c r="D21" t="s">
        <v>55</v>
      </c>
      <c r="E21" s="1" t="s">
        <v>4</v>
      </c>
      <c r="G21" s="2">
        <f>Table1[[#This Row],[Fiyat]]*Table1[[#This Row],[Qty]]</f>
        <v>0</v>
      </c>
    </row>
    <row r="22" spans="1:7" x14ac:dyDescent="0.3">
      <c r="A22" t="s">
        <v>56</v>
      </c>
      <c r="B22">
        <v>3</v>
      </c>
      <c r="C22" t="s">
        <v>57</v>
      </c>
      <c r="D22" t="s">
        <v>58</v>
      </c>
      <c r="E22" s="1" t="s">
        <v>4</v>
      </c>
      <c r="F22" s="2">
        <v>5.9539499999999999</v>
      </c>
      <c r="G22" s="2">
        <f>Table1[[#This Row],[Fiyat]]*Table1[[#This Row],[Qty]]</f>
        <v>17.86185</v>
      </c>
    </row>
    <row r="23" spans="1:7" x14ac:dyDescent="0.3">
      <c r="A23" t="s">
        <v>59</v>
      </c>
      <c r="B23">
        <v>1</v>
      </c>
      <c r="C23" t="s">
        <v>60</v>
      </c>
      <c r="D23" t="s">
        <v>61</v>
      </c>
      <c r="E23" s="1" t="s">
        <v>4</v>
      </c>
      <c r="F23" s="2">
        <v>2.6465299999999998</v>
      </c>
      <c r="G23" s="2">
        <f>Table1[[#This Row],[Fiyat]]*Table1[[#This Row],[Qty]]</f>
        <v>2.6465299999999998</v>
      </c>
    </row>
    <row r="24" spans="1:7" x14ac:dyDescent="0.3">
      <c r="A24" t="s">
        <v>62</v>
      </c>
      <c r="B24">
        <v>1</v>
      </c>
      <c r="C24" t="s">
        <v>63</v>
      </c>
      <c r="D24" t="s">
        <v>64</v>
      </c>
      <c r="E24" s="1" t="s">
        <v>4</v>
      </c>
      <c r="F24" s="2">
        <v>13.694100000000001</v>
      </c>
      <c r="G24" s="2">
        <f>Table1[[#This Row],[Fiyat]]*Table1[[#This Row],[Qty]]</f>
        <v>13.694100000000001</v>
      </c>
    </row>
    <row r="25" spans="1:7" x14ac:dyDescent="0.3">
      <c r="A25" t="s">
        <v>65</v>
      </c>
      <c r="B25">
        <v>4</v>
      </c>
      <c r="C25" t="s">
        <v>66</v>
      </c>
      <c r="D25" t="s">
        <v>67</v>
      </c>
      <c r="E25" s="1" t="s">
        <v>4</v>
      </c>
      <c r="F25" s="2">
        <v>0.64410999999999996</v>
      </c>
      <c r="G25" s="2">
        <f>Table1[[#This Row],[Fiyat]]*Table1[[#This Row],[Qty]]</f>
        <v>2.5764399999999998</v>
      </c>
    </row>
    <row r="26" spans="1:7" x14ac:dyDescent="0.3">
      <c r="A26" t="s">
        <v>68</v>
      </c>
      <c r="B26">
        <v>2</v>
      </c>
      <c r="C26" s="4" t="s">
        <v>69</v>
      </c>
      <c r="D26" t="s">
        <v>70</v>
      </c>
      <c r="E26" t="s">
        <v>4</v>
      </c>
      <c r="G26" s="2">
        <f>Table1[[#This Row],[Fiyat]]*Table1[[#This Row],[Qty]]</f>
        <v>0</v>
      </c>
    </row>
    <row r="27" spans="1:7" x14ac:dyDescent="0.3">
      <c r="A27" t="s">
        <v>71</v>
      </c>
      <c r="B27">
        <v>1</v>
      </c>
      <c r="C27" t="s">
        <v>72</v>
      </c>
      <c r="D27" t="s">
        <v>73</v>
      </c>
      <c r="E27" s="1" t="s">
        <v>4</v>
      </c>
      <c r="F27" s="2">
        <v>5.7304899999999996</v>
      </c>
      <c r="G27" s="2">
        <f>Table1[[#This Row],[Fiyat]]*Table1[[#This Row],[Qty]]</f>
        <v>5.7304899999999996</v>
      </c>
    </row>
    <row r="28" spans="1:7" x14ac:dyDescent="0.3">
      <c r="A28" t="s">
        <v>74</v>
      </c>
      <c r="B28">
        <v>1</v>
      </c>
      <c r="C28" t="s">
        <v>75</v>
      </c>
      <c r="D28" t="s">
        <v>76</v>
      </c>
      <c r="E28" s="1" t="s">
        <v>4</v>
      </c>
      <c r="F28" s="2">
        <v>3.0770499999999998</v>
      </c>
      <c r="G28" s="2">
        <f>Table1[[#This Row],[Fiyat]]*Table1[[#This Row],[Qty]]</f>
        <v>3.0770499999999998</v>
      </c>
    </row>
    <row r="29" spans="1:7" x14ac:dyDescent="0.3">
      <c r="A29" t="s">
        <v>77</v>
      </c>
      <c r="B29">
        <v>1</v>
      </c>
      <c r="C29" s="5" t="s">
        <v>78</v>
      </c>
      <c r="D29" t="s">
        <v>79</v>
      </c>
      <c r="E29" s="1" t="s">
        <v>4</v>
      </c>
      <c r="F29" s="2">
        <v>116.06</v>
      </c>
      <c r="G29" s="2">
        <f>Table1[[#This Row],[Fiyat]]*Table1[[#This Row],[Qty]]</f>
        <v>116.06</v>
      </c>
    </row>
    <row r="30" spans="1:7" x14ac:dyDescent="0.3">
      <c r="A30" t="s">
        <v>80</v>
      </c>
      <c r="B30">
        <v>17</v>
      </c>
      <c r="C30" t="s">
        <v>81</v>
      </c>
      <c r="D30" t="s">
        <v>82</v>
      </c>
      <c r="E30" s="1" t="s">
        <v>4</v>
      </c>
      <c r="F30" s="2">
        <v>6.0859999999999997E-2</v>
      </c>
      <c r="G30" s="2">
        <f>Table1[[#This Row],[Fiyat]]*Table1[[#This Row],[Qty]]</f>
        <v>1.0346199999999999</v>
      </c>
    </row>
    <row r="31" spans="1:7" x14ac:dyDescent="0.3">
      <c r="A31" t="s">
        <v>83</v>
      </c>
      <c r="B31">
        <v>5</v>
      </c>
      <c r="C31" t="s">
        <v>84</v>
      </c>
      <c r="D31" t="s">
        <v>85</v>
      </c>
      <c r="E31" s="1" t="s">
        <v>4</v>
      </c>
      <c r="F31" s="2">
        <v>6.0859999999999997E-2</v>
      </c>
      <c r="G31" s="2">
        <f>Table1[[#This Row],[Fiyat]]*Table1[[#This Row],[Qty]]</f>
        <v>0.30430000000000001</v>
      </c>
    </row>
    <row r="32" spans="1:7" x14ac:dyDescent="0.3">
      <c r="A32" t="s">
        <v>86</v>
      </c>
      <c r="B32">
        <v>1</v>
      </c>
      <c r="C32" t="s">
        <v>87</v>
      </c>
      <c r="D32" t="s">
        <v>88</v>
      </c>
      <c r="E32" s="1" t="s">
        <v>4</v>
      </c>
      <c r="F32" s="2">
        <v>52.089100000000002</v>
      </c>
      <c r="G32" s="2">
        <f>Table1[[#This Row],[Fiyat]]*Table1[[#This Row],[Qty]]</f>
        <v>52.089100000000002</v>
      </c>
    </row>
    <row r="33" spans="1:7" x14ac:dyDescent="0.3">
      <c r="A33" t="s">
        <v>89</v>
      </c>
      <c r="B33">
        <v>3</v>
      </c>
      <c r="C33" t="s">
        <v>90</v>
      </c>
      <c r="D33" t="s">
        <v>85</v>
      </c>
      <c r="E33" s="1" t="s">
        <v>4</v>
      </c>
      <c r="F33" s="2">
        <v>5.6349999999999997E-2</v>
      </c>
      <c r="G33" s="2">
        <f>Table1[[#This Row],[Fiyat]]*Table1[[#This Row],[Qty]]</f>
        <v>0.16904999999999998</v>
      </c>
    </row>
    <row r="34" spans="1:7" x14ac:dyDescent="0.3">
      <c r="A34" t="s">
        <v>91</v>
      </c>
      <c r="B34">
        <v>1</v>
      </c>
      <c r="C34" t="s">
        <v>92</v>
      </c>
      <c r="D34" t="s">
        <v>93</v>
      </c>
      <c r="E34" s="1" t="s">
        <v>4</v>
      </c>
      <c r="F34" s="2">
        <v>5.6349999999999997E-2</v>
      </c>
      <c r="G34" s="2">
        <f>Table1[[#This Row],[Fiyat]]*Table1[[#This Row],[Qty]]</f>
        <v>5.6349999999999997E-2</v>
      </c>
    </row>
    <row r="35" spans="1:7" x14ac:dyDescent="0.3">
      <c r="A35" t="s">
        <v>94</v>
      </c>
      <c r="B35">
        <v>2</v>
      </c>
      <c r="C35" t="s">
        <v>95</v>
      </c>
      <c r="D35" t="s">
        <v>85</v>
      </c>
      <c r="E35" s="1" t="s">
        <v>4</v>
      </c>
      <c r="F35" s="2">
        <v>9.1289999999999996E-2</v>
      </c>
      <c r="G35" s="2">
        <f>Table1[[#This Row],[Fiyat]]*Table1[[#This Row],[Qty]]</f>
        <v>0.18257999999999999</v>
      </c>
    </row>
    <row r="36" spans="1:7" x14ac:dyDescent="0.3">
      <c r="A36" t="s">
        <v>96</v>
      </c>
      <c r="B36">
        <v>1</v>
      </c>
      <c r="C36" t="s">
        <v>97</v>
      </c>
      <c r="D36" t="s">
        <v>98</v>
      </c>
      <c r="E36" s="1" t="s">
        <v>4</v>
      </c>
      <c r="F36" s="2">
        <v>6.0859999999999997E-2</v>
      </c>
      <c r="G36" s="2">
        <f>Table1[[#This Row],[Fiyat]]*Table1[[#This Row],[Qty]]</f>
        <v>6.0859999999999997E-2</v>
      </c>
    </row>
    <row r="37" spans="1:7" x14ac:dyDescent="0.3">
      <c r="A37" t="s">
        <v>99</v>
      </c>
      <c r="B37">
        <v>2</v>
      </c>
      <c r="C37" t="s">
        <v>100</v>
      </c>
      <c r="D37" t="s">
        <v>93</v>
      </c>
      <c r="E37" s="1" t="s">
        <v>4</v>
      </c>
      <c r="F37" s="2">
        <v>6.0859999999999997E-2</v>
      </c>
      <c r="G37" s="2">
        <f>Table1[[#This Row],[Fiyat]]*Table1[[#This Row],[Qty]]</f>
        <v>0.12171999999999999</v>
      </c>
    </row>
    <row r="38" spans="1:7" x14ac:dyDescent="0.3">
      <c r="A38" t="s">
        <v>101</v>
      </c>
      <c r="B38">
        <v>1</v>
      </c>
      <c r="C38" t="s">
        <v>102</v>
      </c>
      <c r="D38" t="s">
        <v>82</v>
      </c>
      <c r="E38" s="1" t="s">
        <v>4</v>
      </c>
      <c r="F38" s="2">
        <v>0.11262</v>
      </c>
      <c r="G38" s="2">
        <f>Table1[[#This Row],[Fiyat]]*Table1[[#This Row],[Qty]]</f>
        <v>0.11262</v>
      </c>
    </row>
    <row r="39" spans="1:7" x14ac:dyDescent="0.3">
      <c r="A39" t="s">
        <v>103</v>
      </c>
      <c r="B39">
        <v>1</v>
      </c>
      <c r="C39" t="s">
        <v>104</v>
      </c>
      <c r="D39" t="s">
        <v>82</v>
      </c>
      <c r="E39" s="1" t="s">
        <v>4</v>
      </c>
      <c r="F39" s="2">
        <v>6.0859999999999997E-2</v>
      </c>
      <c r="G39" s="2">
        <f>Table1[[#This Row],[Fiyat]]*Table1[[#This Row],[Qty]]</f>
        <v>6.0859999999999997E-2</v>
      </c>
    </row>
    <row r="40" spans="1:7" x14ac:dyDescent="0.3">
      <c r="A40" t="s">
        <v>105</v>
      </c>
      <c r="B40">
        <v>1</v>
      </c>
      <c r="C40" t="s">
        <v>106</v>
      </c>
      <c r="D40" t="s">
        <v>93</v>
      </c>
      <c r="E40" s="1" t="s">
        <v>4</v>
      </c>
      <c r="F40" s="2">
        <v>8.4529999999999994E-2</v>
      </c>
      <c r="G40" s="2">
        <f>Table1[[#This Row],[Fiyat]]*Table1[[#This Row],[Qty]]</f>
        <v>8.4529999999999994E-2</v>
      </c>
    </row>
    <row r="41" spans="1:7" x14ac:dyDescent="0.3">
      <c r="A41" t="s">
        <v>107</v>
      </c>
      <c r="B41">
        <v>2</v>
      </c>
      <c r="C41" t="s">
        <v>108</v>
      </c>
      <c r="D41" t="s">
        <v>109</v>
      </c>
      <c r="E41" s="1" t="s">
        <v>4</v>
      </c>
      <c r="F41" s="2">
        <v>3.14696</v>
      </c>
      <c r="G41" s="2">
        <f>Table1[[#This Row],[Fiyat]]*Table1[[#This Row],[Qty]]</f>
        <v>6.29392</v>
      </c>
    </row>
    <row r="42" spans="1:7" x14ac:dyDescent="0.3">
      <c r="A42" t="s">
        <v>110</v>
      </c>
      <c r="B42">
        <v>1</v>
      </c>
      <c r="C42" t="s">
        <v>111</v>
      </c>
      <c r="D42" t="s">
        <v>112</v>
      </c>
      <c r="E42" s="1" t="s">
        <v>4</v>
      </c>
      <c r="F42" s="2">
        <v>200.59</v>
      </c>
      <c r="G42" s="2">
        <f>Table1[[#This Row],[Fiyat]]*Table1[[#This Row],[Qty]]</f>
        <v>200.59</v>
      </c>
    </row>
    <row r="43" spans="1:7" x14ac:dyDescent="0.3">
      <c r="A43" t="s">
        <v>113</v>
      </c>
      <c r="B43">
        <v>1</v>
      </c>
      <c r="C43" t="s">
        <v>114</v>
      </c>
      <c r="D43" t="s">
        <v>115</v>
      </c>
      <c r="E43" s="1" t="s">
        <v>4</v>
      </c>
      <c r="F43" s="2">
        <v>36.384099999999997</v>
      </c>
      <c r="G43" s="2">
        <f>Table1[[#This Row],[Fiyat]]*Table1[[#This Row],[Qty]]</f>
        <v>36.384099999999997</v>
      </c>
    </row>
    <row r="44" spans="1:7" x14ac:dyDescent="0.3">
      <c r="A44" t="s">
        <v>116</v>
      </c>
      <c r="B44">
        <v>1</v>
      </c>
      <c r="C44" t="s">
        <v>117</v>
      </c>
      <c r="D44" t="s">
        <v>118</v>
      </c>
      <c r="E44" s="1" t="s">
        <v>4</v>
      </c>
      <c r="F44" s="2">
        <v>51.086199999999998</v>
      </c>
      <c r="G44" s="2">
        <f>Table1[[#This Row],[Fiyat]]*Table1[[#This Row],[Qty]]</f>
        <v>51.086199999999998</v>
      </c>
    </row>
    <row r="45" spans="1:7" x14ac:dyDescent="0.3">
      <c r="A45" t="s">
        <v>119</v>
      </c>
      <c r="B45">
        <v>1</v>
      </c>
      <c r="C45" t="s">
        <v>120</v>
      </c>
      <c r="D45" t="s">
        <v>121</v>
      </c>
      <c r="E45" s="1" t="s">
        <v>4</v>
      </c>
      <c r="F45" s="2">
        <v>53.4863</v>
      </c>
      <c r="G45" s="2">
        <f>Table1[[#This Row],[Fiyat]]*Table1[[#This Row],[Qty]]</f>
        <v>53.4863</v>
      </c>
    </row>
    <row r="46" spans="1:7" x14ac:dyDescent="0.3">
      <c r="A46" t="s">
        <v>122</v>
      </c>
      <c r="B46">
        <v>1</v>
      </c>
      <c r="C46" t="s">
        <v>123</v>
      </c>
      <c r="D46" t="s">
        <v>124</v>
      </c>
      <c r="E46" s="1" t="s">
        <v>4</v>
      </c>
      <c r="F46" s="2">
        <v>12.1988</v>
      </c>
      <c r="G46" s="2">
        <f>Table1[[#This Row],[Fiyat]]*Table1[[#This Row],[Qty]]</f>
        <v>12.1988</v>
      </c>
    </row>
    <row r="47" spans="1:7" x14ac:dyDescent="0.3">
      <c r="A47" t="s">
        <v>125</v>
      </c>
      <c r="F47"/>
      <c r="G47" s="2">
        <f>SUBTOTAL(109,Table1[Total Fiyat])</f>
        <v>652.19450999999992</v>
      </c>
    </row>
    <row r="48" spans="1:7" x14ac:dyDescent="0.3">
      <c r="A48" t="s">
        <v>125</v>
      </c>
    </row>
  </sheetData>
  <hyperlinks>
    <hyperlink ref="E2" r:id="rId1" xr:uid="{551BD190-F4DF-49D2-8A7B-2A1A33CEC8D5}"/>
    <hyperlink ref="E3" r:id="rId2" xr:uid="{B178AABE-1798-471B-A0F4-03B6892C91D2}"/>
    <hyperlink ref="E4" r:id="rId3" xr:uid="{3882EFF6-0DAB-47F9-A340-55CC5012B39F}"/>
    <hyperlink ref="E5" r:id="rId4" xr:uid="{415C90AE-256F-4FFC-834C-924F2011B1F0}"/>
    <hyperlink ref="E6" r:id="rId5" xr:uid="{A80F808C-AC2A-4EFF-A074-3FF4889A4586}"/>
    <hyperlink ref="E7" r:id="rId6" xr:uid="{BCE11F69-CBA8-499A-A4BE-E33C86D42064}"/>
    <hyperlink ref="E8" r:id="rId7" xr:uid="{0A589C30-1022-4F83-9115-8FFC248D8B22}"/>
    <hyperlink ref="E9" r:id="rId8" xr:uid="{00A10506-6FE0-4227-8F1C-ECBE1C8B0CD9}"/>
    <hyperlink ref="E10" r:id="rId9" xr:uid="{9BAF38AF-29F0-491D-870A-DE8D205552AC}"/>
    <hyperlink ref="E11" r:id="rId10" xr:uid="{24BF9A9D-A6BB-4AE8-A5F5-3CDF1677D3CD}"/>
    <hyperlink ref="E12" r:id="rId11" xr:uid="{6A36FE35-28F8-40DF-BC96-EFF85C6D9055}"/>
    <hyperlink ref="E13" r:id="rId12" xr:uid="{69C201C9-A468-4909-B940-3AC95CBBC40D}"/>
    <hyperlink ref="E14" r:id="rId13" xr:uid="{5227FE12-5521-42B2-82E4-4D031D24EA48}"/>
    <hyperlink ref="E15" r:id="rId14" xr:uid="{A0E79460-C398-4D1A-9922-D4EEF72BE252}"/>
    <hyperlink ref="E16" r:id="rId15" xr:uid="{B6FD874B-58BC-44A6-A80D-F1236CEAB1D6}"/>
    <hyperlink ref="E18" r:id="rId16" xr:uid="{633BE385-D8B8-4486-9F4F-C4128B0C5F27}"/>
    <hyperlink ref="E19" r:id="rId17" xr:uid="{EF1D1289-9DDE-4D85-B93B-8D55DB2605AB}"/>
    <hyperlink ref="E20" r:id="rId18" xr:uid="{F013F8AE-C751-4718-8544-DE4E3B5C42F0}"/>
    <hyperlink ref="E21" r:id="rId19" xr:uid="{AC3B93A5-60A1-4D2C-8D56-93E4BF7CB263}"/>
    <hyperlink ref="E22" r:id="rId20" xr:uid="{3F6AC915-8416-48EC-902F-31A4F6D58E31}"/>
    <hyperlink ref="E23" r:id="rId21" xr:uid="{E3288B14-EF24-402C-A891-1F2C69E4C219}"/>
    <hyperlink ref="E25" r:id="rId22" xr:uid="{E45556C3-AB69-4206-AE86-235D857FDACE}"/>
    <hyperlink ref="E27" r:id="rId23" xr:uid="{2EA3537C-CC13-441B-96C8-FA34AA7AC065}"/>
    <hyperlink ref="E28" r:id="rId24" xr:uid="{262DFDB9-83AE-4CB6-BADB-E8EFC1F5DBAF}"/>
    <hyperlink ref="E29" r:id="rId25" xr:uid="{EF3CE200-C16C-4B7D-8912-930681B323B1}"/>
    <hyperlink ref="E30" r:id="rId26" xr:uid="{0FD9035D-2420-4244-94B1-420551FC0E23}"/>
    <hyperlink ref="E31" r:id="rId27" xr:uid="{3A273D7D-5CFB-4515-ABBC-1B518ABF9FE6}"/>
    <hyperlink ref="E32" r:id="rId28" xr:uid="{9E1C5240-2DC4-4635-850A-FE5AE1EB1610}"/>
    <hyperlink ref="E33" r:id="rId29" xr:uid="{4FA0D975-9D61-4F7E-81EB-46421624FEF5}"/>
    <hyperlink ref="E34" r:id="rId30" xr:uid="{7F83AFC4-2B32-4ABF-9C01-D678E42F4476}"/>
    <hyperlink ref="E35" r:id="rId31" xr:uid="{AA1B2873-5FC3-471F-BF97-0DB0EF99BB64}"/>
    <hyperlink ref="E36" r:id="rId32" xr:uid="{5B8B3964-A496-4310-9CA4-993C3DA85E6E}"/>
    <hyperlink ref="E37" r:id="rId33" xr:uid="{8344684E-662F-43AC-8D66-0F733045493E}"/>
    <hyperlink ref="E38" r:id="rId34" xr:uid="{CAA7E4E9-9CD3-46B5-9B69-A154F3D48B6D}"/>
    <hyperlink ref="E39" r:id="rId35" xr:uid="{8A65C148-F24E-4D99-8E95-6A95AF62BC32}"/>
    <hyperlink ref="E40" r:id="rId36" xr:uid="{88B2FE32-36C7-4EEC-86CD-073C6A14B8C3}"/>
    <hyperlink ref="E41" r:id="rId37" xr:uid="{F474FE5D-0494-4FE2-A5AE-6D77F1AA37E7}"/>
    <hyperlink ref="E42" r:id="rId38" xr:uid="{3273EC80-FDF0-4054-BEEA-EAD33DF0B996}"/>
    <hyperlink ref="E43" r:id="rId39" xr:uid="{7A9DB48B-711A-4DE7-83BA-5467205A153E}"/>
    <hyperlink ref="E44" r:id="rId40" xr:uid="{95902C7F-A2C2-44C4-9D40-C6DDC66E6843}"/>
    <hyperlink ref="E45" r:id="rId41" xr:uid="{3E523F92-C727-418C-9D0E-D40009F09DBF}"/>
    <hyperlink ref="E46" r:id="rId42" xr:uid="{97BB3B79-328A-4B19-8717-078841417B00}"/>
    <hyperlink ref="E24" r:id="rId43" xr:uid="{93270F65-447D-4563-B4FC-3E17841E7566}"/>
  </hyperlinks>
  <pageMargins left="0.25" right="0.25" top="0.75" bottom="0.75" header="0.3" footer="0.3"/>
  <pageSetup scale="69" orientation="landscape" r:id="rId44"/>
  <tableParts count="1">
    <tablePart r:id="rId4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BMS_V4.013</vt:lpstr>
      <vt:lpstr>BMS_V4.013!Print_Area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hasan hasan</cp:lastModifiedBy>
  <cp:lastPrinted>2025-12-17T14:24:26Z</cp:lastPrinted>
  <dcterms:created xsi:type="dcterms:W3CDTF">2025-12-17T13:30:20Z</dcterms:created>
  <dcterms:modified xsi:type="dcterms:W3CDTF">2025-12-17T14:39:14Z</dcterms:modified>
</cp:coreProperties>
</file>