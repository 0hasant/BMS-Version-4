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list" sheetId="1" state="visible" r:id="rId3"/>
    <sheet name="Not ordered" sheetId="2" state="visible" r:id="rId4"/>
  </sheets>
  <definedNames>
    <definedName function="false" hidden="true" localSheetId="0" name="_xlnm._FilterDatabase" vbProcedure="false">'Order list'!$A$5:$N$76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<sst xmlns="http://schemas.openxmlformats.org/spreadsheetml/2006/main" count="489" uniqueCount="297">
  <si>
    <t xml:space="preserve">BMS v4.02 - purchase list</t>
  </si>
  <si>
    <t xml:space="preserve">Prepared by Hasan Turan, 2026-10-21. Prices in TRY with tax at the MOQ price break (Özdisan, checked 2026-10-21). Quantity = boards x qty/board, rounded up to the MOQ (assumed to be the order multiple).</t>
  </si>
  <si>
    <t xml:space="preserve">Boards to build</t>
  </si>
  <si>
    <t xml:space="preserve">&lt;- change this cell</t>
  </si>
  <si>
    <t xml:space="preserve">#</t>
  </si>
  <si>
    <t xml:space="preserve">Supplier</t>
  </si>
  <si>
    <t xml:space="preserve">Manufacturer</t>
  </si>
  <si>
    <t xml:space="preserve">Part number (order this)</t>
  </si>
  <si>
    <t xml:space="preserve">Description</t>
  </si>
  <si>
    <t xml:space="preserve">Used for</t>
  </si>
  <si>
    <t xml:space="preserve">Qty / board</t>
  </si>
  <si>
    <t xml:space="preserve">MOQ</t>
  </si>
  <si>
    <t xml:space="preserve">Qty to order</t>
  </si>
  <si>
    <t xml:space="preserve">Unit price TRY</t>
  </si>
  <si>
    <t xml:space="preserve">Line total TRY</t>
  </si>
  <si>
    <t xml:space="preserve">Stock (Özdisan)</t>
  </si>
  <si>
    <t xml:space="preserve">Link</t>
  </si>
  <si>
    <t xml:space="preserve">Note</t>
  </si>
  <si>
    <t xml:space="preserve">Özdisan</t>
  </si>
  <si>
    <t xml:space="preserve">Samsung</t>
  </si>
  <si>
    <t xml:space="preserve">CL21B104KBCNNNC</t>
  </si>
  <si>
    <t xml:space="preserve">MLCC 0805 100nF 50V X7R</t>
  </si>
  <si>
    <t xml:space="preserve">C2, C9, C12, C13, C14, C16, C18, C20, C23, C38</t>
  </si>
  <si>
    <t xml:space="preserve">open</t>
  </si>
  <si>
    <t xml:space="preserve">CL21Y105KCFVPJE</t>
  </si>
  <si>
    <t xml:space="preserve">MLCC 0805 1uF 100V X7S</t>
  </si>
  <si>
    <t xml:space="preserve">C1, C3</t>
  </si>
  <si>
    <t xml:space="preserve">0805 part hand-soldered on the 1206 pads (C1)</t>
  </si>
  <si>
    <t xml:space="preserve">CL21C101JBANNNC</t>
  </si>
  <si>
    <t xml:space="preserve">MLCC 0805 100pF 50V C0G</t>
  </si>
  <si>
    <t xml:space="preserve">C4</t>
  </si>
  <si>
    <t xml:space="preserve">Viking</t>
  </si>
  <si>
    <t xml:space="preserve">MCF05KTB500102</t>
  </si>
  <si>
    <t xml:space="preserve">MLCC 0805 1nF 50V X7R</t>
  </si>
  <si>
    <t xml:space="preserve">C5, C6, C7</t>
  </si>
  <si>
    <t xml:space="preserve">CL21B225KAFNNNE</t>
  </si>
  <si>
    <t xml:space="preserve">MLCC 0805 2.2uF 25V X7R</t>
  </si>
  <si>
    <t xml:space="preserve">C8</t>
  </si>
  <si>
    <t xml:space="preserve">CL21B474KBFNNNE</t>
  </si>
  <si>
    <t xml:space="preserve">MLCC 0805 470nF 50V X7R</t>
  </si>
  <si>
    <t xml:space="preserve">C10</t>
  </si>
  <si>
    <t xml:space="preserve">Murata</t>
  </si>
  <si>
    <t xml:space="preserve">GRT21BC71E106KE13L</t>
  </si>
  <si>
    <t xml:space="preserve">MLCC 0805 10uF 25V X7S</t>
  </si>
  <si>
    <t xml:space="preserve">C11, C22</t>
  </si>
  <si>
    <t xml:space="preserve">CL21B103KBANNNC</t>
  </si>
  <si>
    <t xml:space="preserve">MLCC 0805 10nF 50V X7R</t>
  </si>
  <si>
    <t xml:space="preserve">C15, C30</t>
  </si>
  <si>
    <t xml:space="preserve">CL21C220JBANNNC</t>
  </si>
  <si>
    <t xml:space="preserve">MLCC 0805 22pF 50V C0G</t>
  </si>
  <si>
    <t xml:space="preserve">C17, C19</t>
  </si>
  <si>
    <t xml:space="preserve">CL21A475KAQNNNE</t>
  </si>
  <si>
    <t xml:space="preserve">MLCC 0805 4.7uF 25V X5R</t>
  </si>
  <si>
    <t xml:space="preserve">C21</t>
  </si>
  <si>
    <t xml:space="preserve">Yageo</t>
  </si>
  <si>
    <t xml:space="preserve">CC0805JRNPO9BN270</t>
  </si>
  <si>
    <t xml:space="preserve">MLCC 0805 27pF 50V C0G</t>
  </si>
  <si>
    <t xml:space="preserve">C24, C25</t>
  </si>
  <si>
    <t xml:space="preserve">27pF instead of 30pF (CAN filter)</t>
  </si>
  <si>
    <t xml:space="preserve">CC0805JRNPO9BN100</t>
  </si>
  <si>
    <t xml:space="preserve">MLCC 0805 10pF 50V C0G</t>
  </si>
  <si>
    <t xml:space="preserve">C27</t>
  </si>
  <si>
    <t xml:space="preserve">CL21B105KBFNNNE</t>
  </si>
  <si>
    <t xml:space="preserve">MLCC 0805 1uF 50V X7R</t>
  </si>
  <si>
    <t xml:space="preserve">C28, C31</t>
  </si>
  <si>
    <t xml:space="preserve">GRM32ER72A225KA35L</t>
  </si>
  <si>
    <t xml:space="preserve">MLCC 1210 2.2uF 100V X7R</t>
  </si>
  <si>
    <t xml:space="preserve">C29</t>
  </si>
  <si>
    <t xml:space="preserve">1210 part on the 1206 pads (same length, wider)</t>
  </si>
  <si>
    <t xml:space="preserve">MCF05KTB500222</t>
  </si>
  <si>
    <t xml:space="preserve">MLCC 0805 2.2nF 50V X7R</t>
  </si>
  <si>
    <t xml:space="preserve">C32, C34</t>
  </si>
  <si>
    <t xml:space="preserve">CL10C560JB8NNNC</t>
  </si>
  <si>
    <t xml:space="preserve">MLCC 0603 56pF 50V C0G</t>
  </si>
  <si>
    <t xml:space="preserve">C33</t>
  </si>
  <si>
    <t xml:space="preserve">0603 part on the 0805 pads</t>
  </si>
  <si>
    <t xml:space="preserve">TDK</t>
  </si>
  <si>
    <t xml:space="preserve">CGA5L3X5R1H106M160AB</t>
  </si>
  <si>
    <t xml:space="preserve">MLCC 1206 10uF 50V X5R</t>
  </si>
  <si>
    <t xml:space="preserve">C35</t>
  </si>
  <si>
    <t xml:space="preserve">Panasonic</t>
  </si>
  <si>
    <t xml:space="preserve">AQY212GSZ</t>
  </si>
  <si>
    <t xml:space="preserve">PhotoMOS relay 60V 1A, SOP4</t>
  </si>
  <si>
    <t xml:space="preserve">C36, C37</t>
  </si>
  <si>
    <t xml:space="preserve">CL21B224KBFNNNE</t>
  </si>
  <si>
    <t xml:space="preserve">MLCC 0805 220nF 50V X7R</t>
  </si>
  <si>
    <t xml:space="preserve">C39, C40, C41, C42, C43, C44, C45, C46, C47, C48, C49, C50, C51, C52, C53, C54, C55</t>
  </si>
  <si>
    <t xml:space="preserve">STMicroelectronics</t>
  </si>
  <si>
    <t xml:space="preserve">BAT41ZFILM</t>
  </si>
  <si>
    <t xml:space="preserve">Schottky 100V 200mA, SOD-123</t>
  </si>
  <si>
    <t xml:space="preserve">D1</t>
  </si>
  <si>
    <t xml:space="preserve">Replaces BAT46W, same SOD-123 package</t>
  </si>
  <si>
    <t xml:space="preserve">onsemi</t>
  </si>
  <si>
    <t xml:space="preserve">BAT54CLT1G</t>
  </si>
  <si>
    <t xml:space="preserve">Dual Schottky common cathode 30V 200mA, SOT-23</t>
  </si>
  <si>
    <t xml:space="preserve">D2</t>
  </si>
  <si>
    <t xml:space="preserve">Hottech</t>
  </si>
  <si>
    <t xml:space="preserve">M7-HT</t>
  </si>
  <si>
    <t xml:space="preserve">Rectifier 1000V 1A, SMA</t>
  </si>
  <si>
    <t xml:space="preserve">D3</t>
  </si>
  <si>
    <t xml:space="preserve">Panjit</t>
  </si>
  <si>
    <t xml:space="preserve">BZX584C4V7_R2_00001</t>
  </si>
  <si>
    <t xml:space="preserve">Zener 4.7V 200mW, SOD-523</t>
  </si>
  <si>
    <t xml:space="preserve">D4, D6, D8, D10, D12, D14, D16, D18, D20, D22, D24, D26, D28, D30, D32, D34</t>
  </si>
  <si>
    <t xml:space="preserve">Honglitronic</t>
  </si>
  <si>
    <t xml:space="preserve">HL-PSC-2012S9AC</t>
  </si>
  <si>
    <t xml:space="preserve">LED red 0805</t>
  </si>
  <si>
    <t xml:space="preserve">D5, D7, D9, D11, D13, D15, D17, D19, D21, D23, D25, D27, D29, D31, D33, D35</t>
  </si>
  <si>
    <t xml:space="preserve">Reomax</t>
  </si>
  <si>
    <t xml:space="preserve">SET1100</t>
  </si>
  <si>
    <t xml:space="preserve">Fuse 1A 125V time-lag, 2410</t>
  </si>
  <si>
    <t xml:space="preserve">F1</t>
  </si>
  <si>
    <t xml:space="preserve">Texas Instruments</t>
  </si>
  <si>
    <t xml:space="preserve">TPS73233DBVR</t>
  </si>
  <si>
    <t xml:space="preserve">LDO 3.3V 250mA, SOT-23-5</t>
  </si>
  <si>
    <t xml:space="preserve">IC1</t>
  </si>
  <si>
    <t xml:space="preserve">LM5163HQDDARQ1</t>
  </si>
  <si>
    <t xml:space="preserve">Buck 100V 0.5A, SO-8 PowerPAD</t>
  </si>
  <si>
    <t xml:space="preserve">IC2</t>
  </si>
  <si>
    <t xml:space="preserve">Degson</t>
  </si>
  <si>
    <t xml:space="preserve">15EDGVC-3.5-10P-14-00AH</t>
  </si>
  <si>
    <t xml:space="preserve">Header 10P 3.5mm vertical, closed</t>
  </si>
  <si>
    <t xml:space="preserve">J1</t>
  </si>
  <si>
    <t xml:space="preserve">15EDGVC-3.5-07P-13-00AH</t>
  </si>
  <si>
    <t xml:space="preserve">Header 7P 3.5mm vertical, closed</t>
  </si>
  <si>
    <t xml:space="preserve">J2</t>
  </si>
  <si>
    <t xml:space="preserve">15EDGVC-3.5-04P-13-00AH</t>
  </si>
  <si>
    <t xml:space="preserve">Header 4P 3.5mm vertical, closed</t>
  </si>
  <si>
    <t xml:space="preserve">J3</t>
  </si>
  <si>
    <t xml:space="preserve">15EDGVC-3.5-02P-12-00AH</t>
  </si>
  <si>
    <t xml:space="preserve">Header 2P 3.5mm vertical, closed</t>
  </si>
  <si>
    <t xml:space="preserve">J4</t>
  </si>
  <si>
    <t xml:space="preserve">Golten</t>
  </si>
  <si>
    <t xml:space="preserve">2EGTVC-5.08-04P-13-100AH</t>
  </si>
  <si>
    <t xml:space="preserve">Header 4P 5.08mm vertical, closed</t>
  </si>
  <si>
    <t xml:space="preserve">J5</t>
  </si>
  <si>
    <t xml:space="preserve">Replaces Degson 2EDGVC. Check it mates with the Degson 2EDGK plug</t>
  </si>
  <si>
    <t xml:space="preserve">KLS</t>
  </si>
  <si>
    <t xml:space="preserve">L-KLS1-207-1-40-S</t>
  </si>
  <si>
    <t xml:space="preserve">Pin header 1x40 2.54mm vertical, cut to 3 pins</t>
  </si>
  <si>
    <t xml:space="preserve">J7, J8</t>
  </si>
  <si>
    <t xml:space="preserve">K51-00AH</t>
  </si>
  <si>
    <t xml:space="preserve">Barrier terminal 6 mm</t>
  </si>
  <si>
    <t xml:space="preserve">J9, J10</t>
  </si>
  <si>
    <t xml:space="preserve">L-KLS1-XL4-2.00-2X08-S</t>
  </si>
  <si>
    <t xml:space="preserve">Header 2x8 2.00mm</t>
  </si>
  <si>
    <t xml:space="preserve">J12, J13</t>
  </si>
  <si>
    <t xml:space="preserve">Core Master</t>
  </si>
  <si>
    <t xml:space="preserve">SDI104R-221M</t>
  </si>
  <si>
    <t xml:space="preserve">Power inductor 220uH 10.4x10.4 mm</t>
  </si>
  <si>
    <t xml:space="preserve">L1</t>
  </si>
  <si>
    <t xml:space="preserve">Kingbright</t>
  </si>
  <si>
    <t xml:space="preserve">KP-2012SRC-PRV</t>
  </si>
  <si>
    <t xml:space="preserve">LED1</t>
  </si>
  <si>
    <t xml:space="preserve">Vishay</t>
  </si>
  <si>
    <t xml:space="preserve">SI1050X-T1-GE3</t>
  </si>
  <si>
    <t xml:space="preserve">N-MOSFET 8V 1.34A, SC-89-6</t>
  </si>
  <si>
    <t xml:space="preserve">Q1, Q2, Q3, Q4, Q5, Q6, Q7, Q8, Q9, Q10, Q11, Q12, Q13, Q14, Q15, Q16</t>
  </si>
  <si>
    <t xml:space="preserve">Royalohm</t>
  </si>
  <si>
    <t xml:space="preserve">0805S8J0103T5E</t>
  </si>
  <si>
    <t xml:space="preserve">Resistor 0805 10k 5%</t>
  </si>
  <si>
    <t xml:space="preserve">R3, R4, R9, R10, R13, R30, R31, R32</t>
  </si>
  <si>
    <t xml:space="preserve">0805S8F1000T5E</t>
  </si>
  <si>
    <t xml:space="preserve">Resistor 0805 100R 1%</t>
  </si>
  <si>
    <t xml:space="preserve">R5, R7, R8, R11, R16, R17, R34, R35, R40, R41, R45, R49, R53, R57, R61, R65, R69, R73, R77, R81, R85, R89, R93</t>
  </si>
  <si>
    <t xml:space="preserve">Also replaces Viking CRT05F7E1000 (one 100R part for all)</t>
  </si>
  <si>
    <t xml:space="preserve">Isabellenhütte</t>
  </si>
  <si>
    <t xml:space="preserve">BVS-A-R002-1.0</t>
  </si>
  <si>
    <t xml:space="preserve">Shunt 2 mOhm 1% 6W, 3920</t>
  </si>
  <si>
    <t xml:space="preserve">R6</t>
  </si>
  <si>
    <t xml:space="preserve">CRT05F7E4701</t>
  </si>
  <si>
    <t xml:space="preserve">Resistor 0805 4.7k 1%</t>
  </si>
  <si>
    <t xml:space="preserve">R12, R15, R27</t>
  </si>
  <si>
    <t xml:space="preserve">0805S8F1001T5E</t>
  </si>
  <si>
    <t xml:space="preserve">Resistor 0805 1k 1%</t>
  </si>
  <si>
    <t xml:space="preserve">R14, R36, R39, R46, R50, R54, R58, R62, R66, R70, R74, R78, R82, R86, R90, R94, R98</t>
  </si>
  <si>
    <t xml:space="preserve">0805S8F2000T5E</t>
  </si>
  <si>
    <t xml:space="preserve">Resistor 0805 200R 1%</t>
  </si>
  <si>
    <t xml:space="preserve">R18</t>
  </si>
  <si>
    <t xml:space="preserve">0805S8F3300T5E</t>
  </si>
  <si>
    <t xml:space="preserve">Resistor 0805 330R 1%</t>
  </si>
  <si>
    <t xml:space="preserve">R19</t>
  </si>
  <si>
    <t xml:space="preserve">0805S8F1004T5E</t>
  </si>
  <si>
    <t xml:space="preserve">Resistor 0805 1M 1%</t>
  </si>
  <si>
    <t xml:space="preserve">R20</t>
  </si>
  <si>
    <t xml:space="preserve">0805S8F604JT5E</t>
  </si>
  <si>
    <t xml:space="preserve">Resistor 0805 60.4R 1%</t>
  </si>
  <si>
    <t xml:space="preserve">R21, R22</t>
  </si>
  <si>
    <t xml:space="preserve">1206S4F6192T5E</t>
  </si>
  <si>
    <t xml:space="preserve">Resistor 1206 61.9k 1%</t>
  </si>
  <si>
    <t xml:space="preserve">R23</t>
  </si>
  <si>
    <t xml:space="preserve">0805S8F4753T5E</t>
  </si>
  <si>
    <t xml:space="preserve">Resistor 0805 475k 1%</t>
  </si>
  <si>
    <t xml:space="preserve">R24</t>
  </si>
  <si>
    <t xml:space="preserve">0805S8F3163T5E</t>
  </si>
  <si>
    <t xml:space="preserve">Resistor 0805 316k 1%</t>
  </si>
  <si>
    <t xml:space="preserve">R25</t>
  </si>
  <si>
    <t xml:space="preserve">0805S8F1003T5E</t>
  </si>
  <si>
    <t xml:space="preserve">Resistor 0805 100k 1%</t>
  </si>
  <si>
    <t xml:space="preserve">R26</t>
  </si>
  <si>
    <t xml:space="preserve">0805S8F4700T5E</t>
  </si>
  <si>
    <t xml:space="preserve">Resistor 0805 470R 1%</t>
  </si>
  <si>
    <t xml:space="preserve">R28, R29, R38, R44, R48, R52, R56, R60, R64, R68, R72, R76, R80, R84, R88, R92, R96, R100</t>
  </si>
  <si>
    <t xml:space="preserve">TC0525B1002T5G</t>
  </si>
  <si>
    <t xml:space="preserve">Resistor 0805 10k 0.1% 25ppm</t>
  </si>
  <si>
    <t xml:space="preserve">R33</t>
  </si>
  <si>
    <t xml:space="preserve">Thermistor divider</t>
  </si>
  <si>
    <t xml:space="preserve">SP123WJ0100T2E</t>
  </si>
  <si>
    <t xml:space="preserve">Resistor 2512 10R 5% 3W</t>
  </si>
  <si>
    <t xml:space="preserve">R37, R42, R47, R51, R55, R59, R63, R67, R71, R75, R79, R83, R87, R91, R95, R99</t>
  </si>
  <si>
    <t xml:space="preserve">Balance resistor. 10R, not the 22R in the schematic (22R not stocked): ~0.42 A / 1.8 W per cell</t>
  </si>
  <si>
    <t xml:space="preserve">0805S8F200JT5E</t>
  </si>
  <si>
    <t xml:space="preserve">Resistor 0805 20R 1%</t>
  </si>
  <si>
    <t xml:space="preserve">R97</t>
  </si>
  <si>
    <t xml:space="preserve">Diptronics</t>
  </si>
  <si>
    <t xml:space="preserve">DTS-62R-V</t>
  </si>
  <si>
    <t xml:space="preserve">Tactile switch 6x6 mm THT</t>
  </si>
  <si>
    <t xml:space="preserve">S1, S2</t>
  </si>
  <si>
    <t xml:space="preserve">NDS-02V</t>
  </si>
  <si>
    <t xml:space="preserve">DIP switch 2 positions THT</t>
  </si>
  <si>
    <t xml:space="preserve">SW1</t>
  </si>
  <si>
    <t xml:space="preserve">NCP18XV103E03RB</t>
  </si>
  <si>
    <t xml:space="preserve">NTC 10k 3% B3930</t>
  </si>
  <si>
    <t xml:space="preserve">TH1, TH2, TH3</t>
  </si>
  <si>
    <t xml:space="preserve">Murata NCP18 is 0603 (page says 0805): hand-solder on the 0805 pads</t>
  </si>
  <si>
    <t xml:space="preserve">REF3033AIDBZR</t>
  </si>
  <si>
    <t xml:space="preserve">Voltage reference 3.3V, SOT-23</t>
  </si>
  <si>
    <t xml:space="preserve">U2</t>
  </si>
  <si>
    <t xml:space="preserve">STM32F103C8T6</t>
  </si>
  <si>
    <t xml:space="preserve">MCU Cortex-M3 64KB, LQFP-48</t>
  </si>
  <si>
    <t xml:space="preserve">U3</t>
  </si>
  <si>
    <t xml:space="preserve">ISO1050DUBR</t>
  </si>
  <si>
    <t xml:space="preserve">Isolated CAN transceiver, SOP-8</t>
  </si>
  <si>
    <t xml:space="preserve">U4</t>
  </si>
  <si>
    <t xml:space="preserve">Isocom</t>
  </si>
  <si>
    <t xml:space="preserve">IS281GB</t>
  </si>
  <si>
    <t xml:space="preserve">Optocoupler phototransistor, SO-4</t>
  </si>
  <si>
    <t xml:space="preserve">U5</t>
  </si>
  <si>
    <t xml:space="preserve">Raltron</t>
  </si>
  <si>
    <t xml:space="preserve">RH100-16.000-18-2030-EXT</t>
  </si>
  <si>
    <t xml:space="preserve">Crystal 16MHz 18pF 20ppm</t>
  </si>
  <si>
    <t xml:space="preserve">Y1</t>
  </si>
  <si>
    <t xml:space="preserve">In stock at Özdisan (~0.14 USD); the 46.28 TRY in the BOM looked wrong</t>
  </si>
  <si>
    <t xml:space="preserve">15EDGK-3.5-10P-14-00AH</t>
  </si>
  <si>
    <t xml:space="preserve">Pluggable terminal block plug 10P 3.5mm</t>
  </si>
  <si>
    <t xml:space="preserve">Plug/jumper for J1</t>
  </si>
  <si>
    <t xml:space="preserve">15EDGK-3.5-07P-13-00AH</t>
  </si>
  <si>
    <t xml:space="preserve">Pluggable terminal block plug 7P 3.5mm</t>
  </si>
  <si>
    <t xml:space="preserve">Plug/jumper for J2</t>
  </si>
  <si>
    <t xml:space="preserve">15EDGK-3.5-04P-13-00AH</t>
  </si>
  <si>
    <t xml:space="preserve">Pluggable terminal block plug 4P 3.5mm</t>
  </si>
  <si>
    <t xml:space="preserve">Plug/jumper for J3</t>
  </si>
  <si>
    <t xml:space="preserve">15EDGK-3.5-02P-12-00AH</t>
  </si>
  <si>
    <t xml:space="preserve">Pluggable terminal block plug 2P 3.5mm</t>
  </si>
  <si>
    <t xml:space="preserve">Plug/jumper for J4</t>
  </si>
  <si>
    <t xml:space="preserve">2EDGK-5.08-04P-13-00AH</t>
  </si>
  <si>
    <t xml:space="preserve">Pluggable terminal block plug 4P 5.08mm</t>
  </si>
  <si>
    <t xml:space="preserve">Plug/jumper for J5</t>
  </si>
  <si>
    <t xml:space="preserve">L-KLS1-203A-C-B-6.5</t>
  </si>
  <si>
    <t xml:space="preserve">Mini jumper 2.54mm closed</t>
  </si>
  <si>
    <t xml:space="preserve">Plug/jumper for J7, J8</t>
  </si>
  <si>
    <t xml:space="preserve">Ekom</t>
  </si>
  <si>
    <t xml:space="preserve">BQ7695203PFBR</t>
  </si>
  <si>
    <t xml:space="preserve">Battery monitor 3-16S, SPI + CRC, TQFP-48</t>
  </si>
  <si>
    <t xml:space="preserve">U1</t>
  </si>
  <si>
    <t xml:space="preserve">Same variant as on the working v4.013 board (proven with this firmware)</t>
  </si>
  <si>
    <t xml:space="preserve">CD74HC4067SM96</t>
  </si>
  <si>
    <t xml:space="preserve">16:1 analog mux, SSOP-24</t>
  </si>
  <si>
    <t xml:space="preserve">U6</t>
  </si>
  <si>
    <t xml:space="preserve">Price and stock to confirm with Ekom</t>
  </si>
  <si>
    <t xml:space="preserve">Total TRY</t>
  </si>
  <si>
    <t xml:space="preserve">of which Özdisan</t>
  </si>
  <si>
    <t xml:space="preserve">of which Ekom</t>
  </si>
  <si>
    <t xml:space="preserve">Orange rows: price missing or a decision to check (see Note). The total does not include lines without a price.</t>
  </si>
  <si>
    <t xml:space="preserve">References</t>
  </si>
  <si>
    <t xml:space="preserve">Value</t>
  </si>
  <si>
    <t xml:space="preserve">Part number</t>
  </si>
  <si>
    <t xml:space="preserve">Reason</t>
  </si>
  <si>
    <t xml:space="preserve">C26</t>
  </si>
  <si>
    <t xml:space="preserve">3.3nF 2kV</t>
  </si>
  <si>
    <t xml:space="preserve">KB3D332KL518Y</t>
  </si>
  <si>
    <t xml:space="preserve">Already in hand</t>
  </si>
  <si>
    <t xml:space="preserve">J6</t>
  </si>
  <si>
    <t xml:space="preserve">SWD</t>
  </si>
  <si>
    <t xml:space="preserve">DS1013-10SSIB1</t>
  </si>
  <si>
    <t xml:space="preserve">PS1</t>
  </si>
  <si>
    <t xml:space="preserve">1S4E_0505S1U</t>
  </si>
  <si>
    <t xml:space="preserve">Not needed for now (CAN not used yet)</t>
  </si>
  <si>
    <t xml:space="preserve">R43</t>
  </si>
  <si>
    <t xml:space="preserve">0R</t>
  </si>
  <si>
    <t xml:space="preserve">0805S8F0000TDE</t>
  </si>
  <si>
    <t xml:space="preserve">Not fitted: solder bridge (and removed on the lower board)</t>
  </si>
  <si>
    <t xml:space="preserve">R1, R2</t>
  </si>
  <si>
    <t xml:space="preserve">DNP (reserved for I2C)</t>
  </si>
  <si>
    <t xml:space="preserve">TP1-TP12, BQ_Reg18</t>
  </si>
  <si>
    <t xml:space="preserve">-</t>
  </si>
  <si>
    <t xml:space="preserve">Test points: bare pads / pins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</si>
</sst>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0563C1"/>
      </patternFill>
    </fill>
    <fill>
      <patternFill patternType="solid">
        <fgColor rgb="FFFCE4D6"/>
        <bgColor rgb="FFFFFFFF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ozdisan.com/en/p/smt-smd-and-mlcc-capacitors-184/samsung-cl21b104kbcnnnc-14777" TargetMode="External"/><Relationship Id="rId2" Type="http://schemas.openxmlformats.org/officeDocument/2006/relationships/hyperlink" Target="https://www.ozdisan.com/en/p/smt-smd-and-mlcc-capacitors-184/samsung-cl21y105kcfvpje-634349" TargetMode="External"/><Relationship Id="rId3" Type="http://schemas.openxmlformats.org/officeDocument/2006/relationships/hyperlink" Target="https://www.ozdisan.com/en/p/smt-smd-and-mlcc-capacitors-184/samsung-cl21c101jbannnc-5599" TargetMode="External"/><Relationship Id="rId4" Type="http://schemas.openxmlformats.org/officeDocument/2006/relationships/hyperlink" Target="https://www.ozdisan.com/en/p/smt-smd-and-mlcc-capacitors-184/viking-mcf05ktb500102-1057174" TargetMode="External"/><Relationship Id="rId5" Type="http://schemas.openxmlformats.org/officeDocument/2006/relationships/hyperlink" Target="https://www.ozdisan.com/en/p/smt-smd-and-mlcc-capacitors-184/samsung-cl21b225kafnnne-347149" TargetMode="External"/><Relationship Id="rId6" Type="http://schemas.openxmlformats.org/officeDocument/2006/relationships/hyperlink" Target="https://www.ozdisan.com/en/p/smt-smd-and-mlcc-capacitors-184/samsung-cl21b474kbfnnne-337061" TargetMode="External"/><Relationship Id="rId7" Type="http://schemas.openxmlformats.org/officeDocument/2006/relationships/hyperlink" Target="https://www.ozdisan.com/en/p/smt-smd-and-mlcc-capacitors-184/murata-grt21bc71e106ke13l-695580" TargetMode="External"/><Relationship Id="rId8" Type="http://schemas.openxmlformats.org/officeDocument/2006/relationships/hyperlink" Target="https://www.ozdisan.com/en/p/smt-smd-and-mlcc-capacitors-184/samsung-cl21b103kbannnc-5607" TargetMode="External"/><Relationship Id="rId9" Type="http://schemas.openxmlformats.org/officeDocument/2006/relationships/hyperlink" Target="https://www.ozdisan.com/en/p/smt-smd-and-mlcc-capacitors-184/samsung-cl21c220jbannnc-5638" TargetMode="External"/><Relationship Id="rId10" Type="http://schemas.openxmlformats.org/officeDocument/2006/relationships/hyperlink" Target="https://www.ozdisan.com/en/p/smt-smd-and-mlcc-capacitors-184/samsung-cl21a475kaqnnne-441542" TargetMode="External"/><Relationship Id="rId11" Type="http://schemas.openxmlformats.org/officeDocument/2006/relationships/hyperlink" Target="https://www.ozdisan.com/en/p/smt-smd-and-mlcc-capacitors-184/yageo-cc0805jrnpo9bn270-748294" TargetMode="External"/><Relationship Id="rId12" Type="http://schemas.openxmlformats.org/officeDocument/2006/relationships/hyperlink" Target="https://www.ozdisan.com/en/p/smt-smd-and-mlcc-capacitors-184/yageo-cc0805jrnpo9bn100-743750" TargetMode="External"/><Relationship Id="rId13" Type="http://schemas.openxmlformats.org/officeDocument/2006/relationships/hyperlink" Target="https://www.ozdisan.com/en/p/smt-smd-and-mlcc-capacitors-184/samsung-cl21b105kbfnnne-347740" TargetMode="External"/><Relationship Id="rId14" Type="http://schemas.openxmlformats.org/officeDocument/2006/relationships/hyperlink" Target="https://www.ozdisan.com/en/p/smt-smd-and-mlcc-capacitors-184/murata-grm32er72a225ka35l-1589679" TargetMode="External"/><Relationship Id="rId15" Type="http://schemas.openxmlformats.org/officeDocument/2006/relationships/hyperlink" Target="https://www.ozdisan.com/en/p/smt-smd-and-mlcc-capacitors-184/viking-mcf05ktb500222-1057182" TargetMode="External"/><Relationship Id="rId16" Type="http://schemas.openxmlformats.org/officeDocument/2006/relationships/hyperlink" Target="https://www.ozdisan.com/en/p/smt-smd-and-mlcc-capacitors-184/samsung-cl10c560jb8nnnc-470846" TargetMode="External"/><Relationship Id="rId17" Type="http://schemas.openxmlformats.org/officeDocument/2006/relationships/hyperlink" Target="https://www.ozdisan.com/en/p/smt-smd-and-mlcc-capacitors-184/tdk-cga5l3x5r1h106m160ab-1067014" TargetMode="External"/><Relationship Id="rId18" Type="http://schemas.openxmlformats.org/officeDocument/2006/relationships/hyperlink" Target="https://www.ozdisan.com/en/p/solid-state-relays-405/panasonic-comp-aqy212gsz-596939" TargetMode="External"/><Relationship Id="rId19" Type="http://schemas.openxmlformats.org/officeDocument/2006/relationships/hyperlink" Target="https://www.ozdisan.com/en/p/smt-smd-and-mlcc-capacitors-184/samsung-cl21b224kbfnnne-11149" TargetMode="External"/><Relationship Id="rId20" Type="http://schemas.openxmlformats.org/officeDocument/2006/relationships/hyperlink" Target="https://www.ozdisan.com/en/p/schottky-diodes-385/stm-bat41zfilm-524387" TargetMode="External"/><Relationship Id="rId21" Type="http://schemas.openxmlformats.org/officeDocument/2006/relationships/hyperlink" Target="https://www.ozdisan.com/en/p/schottky-diodes-385/ons-bat54clt1g-532668" TargetMode="External"/><Relationship Id="rId22" Type="http://schemas.openxmlformats.org/officeDocument/2006/relationships/hyperlink" Target="https://www.ozdisan.com/en/p/rectifier-diodes-389/hottech-m7-ht-417206" TargetMode="External"/><Relationship Id="rId23" Type="http://schemas.openxmlformats.org/officeDocument/2006/relationships/hyperlink" Target="https://www.ozdisan.com/en/p/zener-diodes-390/panjit-bzx584c4v7-r2-00001-464736" TargetMode="External"/><Relationship Id="rId24" Type="http://schemas.openxmlformats.org/officeDocument/2006/relationships/hyperlink" Target="https://www.ozdisan.com/en/p/led-signal-color-361/honglitronic-hl-psc-2012s9ac-471650" TargetMode="External"/><Relationship Id="rId25" Type="http://schemas.openxmlformats.org/officeDocument/2006/relationships/hyperlink" Target="https://www.ozdisan.com/en/p/fuses-849/reomax-set1100-525709" TargetMode="External"/><Relationship Id="rId26" Type="http://schemas.openxmlformats.org/officeDocument/2006/relationships/hyperlink" Target="https://www.ozdisan.com/en/p/linear-voltage-regulators-279/texas-tps73233dbvr-588532" TargetMode="External"/><Relationship Id="rId27" Type="http://schemas.openxmlformats.org/officeDocument/2006/relationships/hyperlink" Target="https://www.ozdisan.com/en/p/dc-dc-switching-voltage-regulators-275/texas-lm5163hqddarq1-1044370" TargetMode="External"/><Relationship Id="rId28" Type="http://schemas.openxmlformats.org/officeDocument/2006/relationships/hyperlink" Target="https://www.ozdisan.com/en/p/pluggable-terminal-blocks-411/degson-15edgvc-3-5-10p-14-00ah-701064" TargetMode="External"/><Relationship Id="rId29" Type="http://schemas.openxmlformats.org/officeDocument/2006/relationships/hyperlink" Target="https://www.ozdisan.com/en/p/pluggable-terminal-blocks-411/degson-15edgvc-3-5-07p-13-00ah-741176" TargetMode="External"/><Relationship Id="rId30" Type="http://schemas.openxmlformats.org/officeDocument/2006/relationships/hyperlink" Target="https://www.ozdisan.com/en/p/pluggable-terminal-blocks-411/degson-15edgvc-3-5-04p-13-00ah-476371" TargetMode="External"/><Relationship Id="rId31" Type="http://schemas.openxmlformats.org/officeDocument/2006/relationships/hyperlink" Target="https://www.ozdisan.com/en/p/pluggable-terminal-blocks-411/degson-15edgvc-3-5-02p-12-00ah-707708" TargetMode="External"/><Relationship Id="rId32" Type="http://schemas.openxmlformats.org/officeDocument/2006/relationships/hyperlink" Target="https://www.ozdisan.com/en/p/pluggable-terminal-blocks-411/golten-2egtvc-5-08-04p-13-100ah-1076150" TargetMode="External"/><Relationship Id="rId33" Type="http://schemas.openxmlformats.org/officeDocument/2006/relationships/hyperlink" Target="https://www.ozdisan.com/en/p/pin-headers-293/kls-electronic-l-kls1-207-1-40-s-456171" TargetMode="External"/><Relationship Id="rId34" Type="http://schemas.openxmlformats.org/officeDocument/2006/relationships/hyperlink" Target="https://www.ozdisan.com/en/p/screw-connectors-342/degson-k51-00ah-574940" TargetMode="External"/><Relationship Id="rId35" Type="http://schemas.openxmlformats.org/officeDocument/2006/relationships/hyperlink" Target="https://www.ozdisan.com/en/p/pcb-connectors-310/kls-electronic-l-kls1-xl4-2-00-2x08-s-628024" TargetMode="External"/><Relationship Id="rId36" Type="http://schemas.openxmlformats.org/officeDocument/2006/relationships/hyperlink" Target="https://www.ozdisan.com/en/p/fixed-inductors-468/core-master-sdi104r-221m-506762" TargetMode="External"/><Relationship Id="rId37" Type="http://schemas.openxmlformats.org/officeDocument/2006/relationships/hyperlink" Target="https://www.ozdisan.com/en/p/led-signal-color-361/kingbright-kp-2012src-prv-634977" TargetMode="External"/><Relationship Id="rId38" Type="http://schemas.openxmlformats.org/officeDocument/2006/relationships/hyperlink" Target="https://www.ozdisan.com/en/p/discrete-mosfets-435/vishay-si1050x-t1-ge3-502451" TargetMode="External"/><Relationship Id="rId39" Type="http://schemas.openxmlformats.org/officeDocument/2006/relationships/hyperlink" Target="https://www.ozdisan.com/en/p/smt-smd-and-chip-resistors-194/royalohm-0805s8j0103t5e-28433" TargetMode="External"/><Relationship Id="rId40" Type="http://schemas.openxmlformats.org/officeDocument/2006/relationships/hyperlink" Target="https://www.ozdisan.com/en/p/smt-smd-and-chip-resistors-194/royalohm-0805s8f1000t5e-30250" TargetMode="External"/><Relationship Id="rId41" Type="http://schemas.openxmlformats.org/officeDocument/2006/relationships/hyperlink" Target="https://www.ozdisan.com/en/p/precision-power-and-shunt-resistors-195/isabellenhutte-bvs-a-r002-1-0-536227" TargetMode="External"/><Relationship Id="rId42" Type="http://schemas.openxmlformats.org/officeDocument/2006/relationships/hyperlink" Target="https://www.ozdisan.com/en/p/smt-smd-and-chip-resistors-194/viking-crt05f7e4701-1086646" TargetMode="External"/><Relationship Id="rId43" Type="http://schemas.openxmlformats.org/officeDocument/2006/relationships/hyperlink" Target="https://www.ozdisan.com/en/p/smt-smd-and-chip-resistors-194/royalohm-0805s8f1001t5e-29698" TargetMode="External"/><Relationship Id="rId44" Type="http://schemas.openxmlformats.org/officeDocument/2006/relationships/hyperlink" Target="https://www.ozdisan.com/en/p/smt-smd-and-chip-resistors-194/royalohm-0805s8f2000t5e-404862" TargetMode="External"/><Relationship Id="rId45" Type="http://schemas.openxmlformats.org/officeDocument/2006/relationships/hyperlink" Target="https://www.ozdisan.com/en/p/smt-smd-and-chip-resistors-194/royalohm-0805s8f3300t5e-36831" TargetMode="External"/><Relationship Id="rId46" Type="http://schemas.openxmlformats.org/officeDocument/2006/relationships/hyperlink" Target="https://www.ozdisan.com/en/p/smt-smd-and-chip-resistors-194/royalohm-0805s8f1004t5e-29700" TargetMode="External"/><Relationship Id="rId47" Type="http://schemas.openxmlformats.org/officeDocument/2006/relationships/hyperlink" Target="https://www.ozdisan.com/en/p/smt-smd-and-chip-resistors-194/royalohm-0805s8f604jt5e-505356" TargetMode="External"/><Relationship Id="rId48" Type="http://schemas.openxmlformats.org/officeDocument/2006/relationships/hyperlink" Target="https://www.ozdisan.com/en/p/smt-smd-and-chip-resistors-194/royalohm-1206s4f6192t5e-505187" TargetMode="External"/><Relationship Id="rId49" Type="http://schemas.openxmlformats.org/officeDocument/2006/relationships/hyperlink" Target="https://www.ozdisan.com/en/p/smt-smd-and-chip-resistors-194/royalohm-0805s8f4753t5e-505646" TargetMode="External"/><Relationship Id="rId50" Type="http://schemas.openxmlformats.org/officeDocument/2006/relationships/hyperlink" Target="https://www.ozdisan.com/en/p/smt-smd-and-chip-resistors-194/royalohm-0805s8f3163t5e-505632" TargetMode="External"/><Relationship Id="rId51" Type="http://schemas.openxmlformats.org/officeDocument/2006/relationships/hyperlink" Target="https://www.ozdisan.com/en/p/smt-smd-and-chip-resistors-194/royalohm-0805s8f1003t5e-30244" TargetMode="External"/><Relationship Id="rId52" Type="http://schemas.openxmlformats.org/officeDocument/2006/relationships/hyperlink" Target="https://www.ozdisan.com/en/p/smt-smd-and-chip-resistors-194/royalohm-0805s8f4700t5e-29701" TargetMode="External"/><Relationship Id="rId53" Type="http://schemas.openxmlformats.org/officeDocument/2006/relationships/hyperlink" Target="https://www.ozdisan.com/en/p/smt-smd-and-chip-resistors-194/royalohm-tc0525b1002t5g-700129" TargetMode="External"/><Relationship Id="rId54" Type="http://schemas.openxmlformats.org/officeDocument/2006/relationships/hyperlink" Target="https://www.ozdisan.com/en/p/smt-smd-and-chip-resistors-194/royalohm-sp123wj0100t2e-624800" TargetMode="External"/><Relationship Id="rId55" Type="http://schemas.openxmlformats.org/officeDocument/2006/relationships/hyperlink" Target="https://www.ozdisan.com/en/p/smt-smd-and-chip-resistors-194/royalohm-0805s8f200jt5e-453058" TargetMode="External"/><Relationship Id="rId56" Type="http://schemas.openxmlformats.org/officeDocument/2006/relationships/hyperlink" Target="https://www.ozdisan.com/en/p/tactile-switches-485/diptronics-dts-62r-v-476750" TargetMode="External"/><Relationship Id="rId57" Type="http://schemas.openxmlformats.org/officeDocument/2006/relationships/hyperlink" Target="https://www.ozdisan.com/en/p/dip-switches-491/diptronics-nds-02v-650600" TargetMode="External"/><Relationship Id="rId58" Type="http://schemas.openxmlformats.org/officeDocument/2006/relationships/hyperlink" Target="https://www.ozdisan.com/en/p/ntc-thermistors-852/murata-ncp18xv103e03rb-737535" TargetMode="External"/><Relationship Id="rId59" Type="http://schemas.openxmlformats.org/officeDocument/2006/relationships/hyperlink" Target="https://www.ozdisan.com/en/p/voltage-reference-ics-287/texas-ref3033aidbzr-616752" TargetMode="External"/><Relationship Id="rId60" Type="http://schemas.openxmlformats.org/officeDocument/2006/relationships/hyperlink" Target="https://www.ozdisan.com/en/p/microcontrollers-218/stm-stm32f103c8t6-368374" TargetMode="External"/><Relationship Id="rId61" Type="http://schemas.openxmlformats.org/officeDocument/2006/relationships/hyperlink" Target="https://www.ozdisan.com/en/p/drivers-receivers-and-transceivers-229/texas-iso1050dubr-348272" TargetMode="External"/><Relationship Id="rId62" Type="http://schemas.openxmlformats.org/officeDocument/2006/relationships/hyperlink" Target="https://www.ozdisan.com/en/p/optocoupler-transistor-and-photovoltaic-output-189/isocom-is281gb-344697" TargetMode="External"/><Relationship Id="rId63" Type="http://schemas.openxmlformats.org/officeDocument/2006/relationships/hyperlink" Target="https://www.ozdisan.com/en/p/crystals-508/raltron-rh100-16-000-18-2030-ext-642974" TargetMode="External"/><Relationship Id="rId64" Type="http://schemas.openxmlformats.org/officeDocument/2006/relationships/hyperlink" Target="https://www.ozdisan.com/en/p/pluggable-terminal-blocks-411/degson-15edgk-3-5-10p-14-00ah-701038" TargetMode="External"/><Relationship Id="rId65" Type="http://schemas.openxmlformats.org/officeDocument/2006/relationships/hyperlink" Target="https://www.ozdisan.com/en/p/pluggable-terminal-blocks-411/degson-15edgk-3-5-07p-13-00ah-741160" TargetMode="External"/><Relationship Id="rId66" Type="http://schemas.openxmlformats.org/officeDocument/2006/relationships/hyperlink" Target="https://www.ozdisan.com/en/p/pluggable-terminal-blocks-411/degson-15edgk-3-5-04p-13-00ah-476366" TargetMode="External"/><Relationship Id="rId67" Type="http://schemas.openxmlformats.org/officeDocument/2006/relationships/hyperlink" Target="https://www.ozdisan.com/en/p/pluggable-terminal-blocks-411/degson-15edgk-3-5-02p-12-00ah-596273" TargetMode="External"/><Relationship Id="rId68" Type="http://schemas.openxmlformats.org/officeDocument/2006/relationships/hyperlink" Target="https://www.ozdisan.com/en/p/pluggable-terminal-blocks-411/degson-2edgk-5-08-04p-13-00ah-515290" TargetMode="External"/><Relationship Id="rId69" Type="http://schemas.openxmlformats.org/officeDocument/2006/relationships/hyperlink" Target="https://www.ozdisan.com/en/p/mini-jumpers-324/kls-electronic-l-kls1-203a-c-b-6-5-456491" TargetMode="External"/><Relationship Id="rId70" Type="http://schemas.openxmlformats.org/officeDocument/2006/relationships/hyperlink" Target="https://www.e-komponent.com/bq7695203pfbr-texas-instruments-pmic-batarya-yonetimi" TargetMode="External"/><Relationship Id="rId71" Type="http://schemas.openxmlformats.org/officeDocument/2006/relationships/hyperlink" Target="https://www.e-komponent.com/1-circuit-ic-switch-161-160ohm-24-ssop" TargetMode="External"/><Relationship Id="rId7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6"/>
    <col collapsed="false" customWidth="true" hidden="false" outlineLevel="0" max="14" min="1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D3" s="4" t="n">
        <v>2</v>
      </c>
      <c r="E3" s="2" t="s">
        <v>3</v>
      </c>
    </row>
    <row r="5" customFormat="false" ht="39.55" hidden="false" customHeight="fals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</row>
    <row r="6" customFormat="false" ht="23.85" hidden="false" customHeight="false" outlineLevel="0" collapsed="false">
      <c r="A6" s="6" t="n">
        <v>1</v>
      </c>
      <c r="B6" s="6" t="s">
        <v>18</v>
      </c>
      <c r="C6" s="6" t="s">
        <v>19</v>
      </c>
      <c r="D6" s="6" t="s">
        <v>20</v>
      </c>
      <c r="E6" s="7" t="s">
        <v>21</v>
      </c>
      <c r="F6" s="7" t="s">
        <v>22</v>
      </c>
      <c r="G6" s="6" t="n">
        <v>10</v>
      </c>
      <c r="H6" s="6" t="n">
        <v>10</v>
      </c>
      <c r="I6" s="6" t="n">
        <f aca="false">MAX(H6,CEILING(G6*$D$3,H6))</f>
        <v>20</v>
      </c>
      <c r="J6" s="8" t="n">
        <v>0.69204</v>
      </c>
      <c r="K6" s="8" t="n">
        <f aca="false">IF(J6="","",J6*I6)</f>
        <v>13.8408</v>
      </c>
      <c r="L6" s="6" t="n">
        <v>65330</v>
      </c>
      <c r="M6" s="9" t="s">
        <v>23</v>
      </c>
      <c r="N6" s="7"/>
    </row>
    <row r="7" customFormat="false" ht="15" hidden="false" customHeight="false" outlineLevel="0" collapsed="false">
      <c r="A7" s="6" t="n">
        <v>2</v>
      </c>
      <c r="B7" s="6" t="s">
        <v>18</v>
      </c>
      <c r="C7" s="6" t="s">
        <v>19</v>
      </c>
      <c r="D7" s="6" t="s">
        <v>24</v>
      </c>
      <c r="E7" s="7" t="s">
        <v>25</v>
      </c>
      <c r="F7" s="7" t="s">
        <v>26</v>
      </c>
      <c r="G7" s="6" t="n">
        <v>2</v>
      </c>
      <c r="H7" s="6" t="n">
        <v>1</v>
      </c>
      <c r="I7" s="6" t="n">
        <f aca="false">MAX(H7,CEILING(G7*$D$3,H7))</f>
        <v>4</v>
      </c>
      <c r="J7" s="8" t="n">
        <v>11.8517</v>
      </c>
      <c r="K7" s="8" t="n">
        <f aca="false">IF(J7="","",J7*I7)</f>
        <v>47.4068</v>
      </c>
      <c r="L7" s="6" t="n">
        <v>60891</v>
      </c>
      <c r="M7" s="9" t="s">
        <v>23</v>
      </c>
      <c r="N7" s="7" t="s">
        <v>27</v>
      </c>
    </row>
    <row r="8" customFormat="false" ht="15" hidden="false" customHeight="false" outlineLevel="0" collapsed="false">
      <c r="A8" s="6" t="n">
        <v>3</v>
      </c>
      <c r="B8" s="6" t="s">
        <v>18</v>
      </c>
      <c r="C8" s="6" t="s">
        <v>19</v>
      </c>
      <c r="D8" s="6" t="s">
        <v>28</v>
      </c>
      <c r="E8" s="7" t="s">
        <v>29</v>
      </c>
      <c r="F8" s="7" t="s">
        <v>30</v>
      </c>
      <c r="G8" s="6" t="n">
        <v>1</v>
      </c>
      <c r="H8" s="6" t="n">
        <v>10</v>
      </c>
      <c r="I8" s="6" t="n">
        <f aca="false">MAX(H8,CEILING(G8*$D$3,H8))</f>
        <v>10</v>
      </c>
      <c r="J8" s="8" t="n">
        <v>0.60916</v>
      </c>
      <c r="K8" s="8" t="n">
        <f aca="false">IF(J8="","",J8*I8)</f>
        <v>6.0916</v>
      </c>
      <c r="L8" s="6" t="n">
        <v>823356</v>
      </c>
      <c r="M8" s="9" t="s">
        <v>23</v>
      </c>
      <c r="N8" s="7"/>
    </row>
    <row r="9" customFormat="false" ht="15" hidden="false" customHeight="false" outlineLevel="0" collapsed="false">
      <c r="A9" s="6" t="n">
        <v>4</v>
      </c>
      <c r="B9" s="6" t="s">
        <v>18</v>
      </c>
      <c r="C9" s="6" t="s">
        <v>31</v>
      </c>
      <c r="D9" s="6" t="s">
        <v>32</v>
      </c>
      <c r="E9" s="7" t="s">
        <v>33</v>
      </c>
      <c r="F9" s="7" t="s">
        <v>34</v>
      </c>
      <c r="G9" s="6" t="n">
        <v>3</v>
      </c>
      <c r="H9" s="6" t="n">
        <v>10</v>
      </c>
      <c r="I9" s="6" t="n">
        <f aca="false">MAX(H9,CEILING(G9*$D$3,H9))</f>
        <v>10</v>
      </c>
      <c r="J9" s="8" t="n">
        <v>0.6999</v>
      </c>
      <c r="K9" s="8" t="n">
        <f aca="false">IF(J9="","",J9*I9)</f>
        <v>6.999</v>
      </c>
      <c r="L9" s="6" t="n">
        <v>16113</v>
      </c>
      <c r="M9" s="9" t="s">
        <v>23</v>
      </c>
      <c r="N9" s="7"/>
    </row>
    <row r="10" customFormat="false" ht="15" hidden="false" customHeight="false" outlineLevel="0" collapsed="false">
      <c r="A10" s="6" t="n">
        <v>5</v>
      </c>
      <c r="B10" s="6" t="s">
        <v>18</v>
      </c>
      <c r="C10" s="6" t="s">
        <v>19</v>
      </c>
      <c r="D10" s="6" t="s">
        <v>35</v>
      </c>
      <c r="E10" s="7" t="s">
        <v>36</v>
      </c>
      <c r="F10" s="7" t="s">
        <v>37</v>
      </c>
      <c r="G10" s="6" t="n">
        <v>1</v>
      </c>
      <c r="H10" s="6" t="n">
        <v>5</v>
      </c>
      <c r="I10" s="6" t="n">
        <f aca="false">MAX(H10,CEILING(G10*$D$3,H10))</f>
        <v>5</v>
      </c>
      <c r="J10" s="8" t="n">
        <v>2.07405</v>
      </c>
      <c r="K10" s="8" t="n">
        <f aca="false">IF(J10="","",J10*I10)</f>
        <v>10.37025</v>
      </c>
      <c r="L10" s="6" t="n">
        <v>783799</v>
      </c>
      <c r="M10" s="9" t="s">
        <v>23</v>
      </c>
      <c r="N10" s="7"/>
    </row>
    <row r="11" customFormat="false" ht="15" hidden="false" customHeight="false" outlineLevel="0" collapsed="false">
      <c r="A11" s="6" t="n">
        <v>6</v>
      </c>
      <c r="B11" s="6" t="s">
        <v>18</v>
      </c>
      <c r="C11" s="6" t="s">
        <v>19</v>
      </c>
      <c r="D11" s="6" t="s">
        <v>38</v>
      </c>
      <c r="E11" s="7" t="s">
        <v>39</v>
      </c>
      <c r="F11" s="7" t="s">
        <v>40</v>
      </c>
      <c r="G11" s="6" t="n">
        <v>1</v>
      </c>
      <c r="H11" s="6" t="n">
        <v>10</v>
      </c>
      <c r="I11" s="6" t="n">
        <f aca="false">MAX(H11,CEILING(G11*$D$3,H11))</f>
        <v>10</v>
      </c>
      <c r="J11" s="8" t="n">
        <v>0.96737</v>
      </c>
      <c r="K11" s="8" t="n">
        <f aca="false">IF(J11="","",J11*I11)</f>
        <v>9.6737</v>
      </c>
      <c r="L11" s="6" t="n">
        <v>20455</v>
      </c>
      <c r="M11" s="9" t="s">
        <v>23</v>
      </c>
      <c r="N11" s="7"/>
    </row>
    <row r="12" customFormat="false" ht="15" hidden="false" customHeight="false" outlineLevel="0" collapsed="false">
      <c r="A12" s="6" t="n">
        <v>7</v>
      </c>
      <c r="B12" s="6" t="s">
        <v>18</v>
      </c>
      <c r="C12" s="6" t="s">
        <v>41</v>
      </c>
      <c r="D12" s="6" t="s">
        <v>42</v>
      </c>
      <c r="E12" s="7" t="s">
        <v>43</v>
      </c>
      <c r="F12" s="7" t="s">
        <v>44</v>
      </c>
      <c r="G12" s="6" t="n">
        <v>2</v>
      </c>
      <c r="H12" s="6" t="n">
        <v>1</v>
      </c>
      <c r="I12" s="6" t="n">
        <f aca="false">MAX(H12,CEILING(G12*$D$3,H12))</f>
        <v>4</v>
      </c>
      <c r="J12" s="8" t="n">
        <v>24.8136</v>
      </c>
      <c r="K12" s="8" t="n">
        <f aca="false">IF(J12="","",J12*I12)</f>
        <v>99.2544</v>
      </c>
      <c r="L12" s="6" t="n">
        <v>396</v>
      </c>
      <c r="M12" s="9" t="s">
        <v>23</v>
      </c>
      <c r="N12" s="7"/>
    </row>
    <row r="13" customFormat="false" ht="15" hidden="false" customHeight="false" outlineLevel="0" collapsed="false">
      <c r="A13" s="6" t="n">
        <v>8</v>
      </c>
      <c r="B13" s="6" t="s">
        <v>18</v>
      </c>
      <c r="C13" s="6" t="s">
        <v>19</v>
      </c>
      <c r="D13" s="6" t="s">
        <v>45</v>
      </c>
      <c r="E13" s="7" t="s">
        <v>46</v>
      </c>
      <c r="F13" s="7" t="s">
        <v>47</v>
      </c>
      <c r="G13" s="6" t="n">
        <v>2</v>
      </c>
      <c r="H13" s="6" t="n">
        <v>10</v>
      </c>
      <c r="I13" s="6" t="n">
        <f aca="false">MAX(H13,CEILING(G13*$D$3,H13))</f>
        <v>10</v>
      </c>
      <c r="J13" s="8" t="n">
        <v>0.79501</v>
      </c>
      <c r="K13" s="8" t="n">
        <f aca="false">IF(J13="","",J13*I13)</f>
        <v>7.9501</v>
      </c>
      <c r="L13" s="6" t="n">
        <v>587532</v>
      </c>
      <c r="M13" s="9" t="s">
        <v>23</v>
      </c>
      <c r="N13" s="7"/>
    </row>
    <row r="14" customFormat="false" ht="15" hidden="false" customHeight="false" outlineLevel="0" collapsed="false">
      <c r="A14" s="6" t="n">
        <v>9</v>
      </c>
      <c r="B14" s="6" t="s">
        <v>18</v>
      </c>
      <c r="C14" s="6" t="s">
        <v>19</v>
      </c>
      <c r="D14" s="6" t="s">
        <v>48</v>
      </c>
      <c r="E14" s="7" t="s">
        <v>49</v>
      </c>
      <c r="F14" s="7" t="s">
        <v>50</v>
      </c>
      <c r="G14" s="6" t="n">
        <v>2</v>
      </c>
      <c r="H14" s="6" t="n">
        <v>10</v>
      </c>
      <c r="I14" s="6" t="n">
        <f aca="false">MAX(H14,CEILING(G14*$D$3,H14))</f>
        <v>10</v>
      </c>
      <c r="J14" s="8" t="n">
        <v>0.5988</v>
      </c>
      <c r="K14" s="8" t="n">
        <f aca="false">IF(J14="","",J14*I14)</f>
        <v>5.988</v>
      </c>
      <c r="L14" s="6" t="n">
        <v>2614482</v>
      </c>
      <c r="M14" s="9" t="s">
        <v>23</v>
      </c>
      <c r="N14" s="7"/>
    </row>
    <row r="15" customFormat="false" ht="15" hidden="false" customHeight="false" outlineLevel="0" collapsed="false">
      <c r="A15" s="6" t="n">
        <v>10</v>
      </c>
      <c r="B15" s="6" t="s">
        <v>18</v>
      </c>
      <c r="C15" s="6" t="s">
        <v>19</v>
      </c>
      <c r="D15" s="6" t="s">
        <v>51</v>
      </c>
      <c r="E15" s="7" t="s">
        <v>52</v>
      </c>
      <c r="F15" s="7" t="s">
        <v>53</v>
      </c>
      <c r="G15" s="6" t="n">
        <v>1</v>
      </c>
      <c r="H15" s="6" t="n">
        <v>5</v>
      </c>
      <c r="I15" s="6" t="n">
        <f aca="false">MAX(H15,CEILING(G15*$D$3,H15))</f>
        <v>5</v>
      </c>
      <c r="J15" s="8" t="n">
        <v>1.38365</v>
      </c>
      <c r="K15" s="8" t="n">
        <f aca="false">IF(J15="","",J15*I15)</f>
        <v>6.91825</v>
      </c>
      <c r="L15" s="6" t="n">
        <v>4706</v>
      </c>
      <c r="M15" s="9" t="s">
        <v>23</v>
      </c>
      <c r="N15" s="7"/>
    </row>
    <row r="16" customFormat="false" ht="15" hidden="false" customHeight="false" outlineLevel="0" collapsed="false">
      <c r="A16" s="6" t="n">
        <v>11</v>
      </c>
      <c r="B16" s="6" t="s">
        <v>18</v>
      </c>
      <c r="C16" s="6" t="s">
        <v>54</v>
      </c>
      <c r="D16" s="6" t="s">
        <v>55</v>
      </c>
      <c r="E16" s="7" t="s">
        <v>56</v>
      </c>
      <c r="F16" s="7" t="s">
        <v>57</v>
      </c>
      <c r="G16" s="6" t="n">
        <v>2</v>
      </c>
      <c r="H16" s="6" t="n">
        <v>10</v>
      </c>
      <c r="I16" s="6" t="n">
        <f aca="false">MAX(H16,CEILING(G16*$D$3,H16))</f>
        <v>10</v>
      </c>
      <c r="J16" s="8" t="n">
        <v>0.88336</v>
      </c>
      <c r="K16" s="8" t="n">
        <f aca="false">IF(J16="","",J16*I16)</f>
        <v>8.8336</v>
      </c>
      <c r="L16" s="6" t="n">
        <v>695000</v>
      </c>
      <c r="M16" s="9" t="s">
        <v>23</v>
      </c>
      <c r="N16" s="7" t="s">
        <v>58</v>
      </c>
    </row>
    <row r="17" customFormat="false" ht="15" hidden="false" customHeight="false" outlineLevel="0" collapsed="false">
      <c r="A17" s="6" t="n">
        <v>12</v>
      </c>
      <c r="B17" s="6" t="s">
        <v>18</v>
      </c>
      <c r="C17" s="6" t="s">
        <v>54</v>
      </c>
      <c r="D17" s="6" t="s">
        <v>59</v>
      </c>
      <c r="E17" s="7" t="s">
        <v>60</v>
      </c>
      <c r="F17" s="7" t="s">
        <v>61</v>
      </c>
      <c r="G17" s="6" t="n">
        <v>1</v>
      </c>
      <c r="H17" s="6" t="n">
        <v>10</v>
      </c>
      <c r="I17" s="6" t="n">
        <f aca="false">MAX(H17,CEILING(G17*$D$3,H17))</f>
        <v>10</v>
      </c>
      <c r="J17" s="8" t="n">
        <v>0.88139</v>
      </c>
      <c r="K17" s="8" t="n">
        <f aca="false">IF(J17="","",J17*I17)</f>
        <v>8.8139</v>
      </c>
      <c r="L17" s="6" t="n">
        <v>90147</v>
      </c>
      <c r="M17" s="9" t="s">
        <v>23</v>
      </c>
      <c r="N17" s="7"/>
    </row>
    <row r="18" customFormat="false" ht="15" hidden="false" customHeight="false" outlineLevel="0" collapsed="false">
      <c r="A18" s="6" t="n">
        <v>13</v>
      </c>
      <c r="B18" s="6" t="s">
        <v>18</v>
      </c>
      <c r="C18" s="6" t="s">
        <v>19</v>
      </c>
      <c r="D18" s="6" t="s">
        <v>62</v>
      </c>
      <c r="E18" s="7" t="s">
        <v>63</v>
      </c>
      <c r="F18" s="7" t="s">
        <v>64</v>
      </c>
      <c r="G18" s="6" t="n">
        <v>2</v>
      </c>
      <c r="H18" s="6" t="n">
        <v>5</v>
      </c>
      <c r="I18" s="6" t="n">
        <f aca="false">MAX(H18,CEILING(G18*$D$3,H18))</f>
        <v>5</v>
      </c>
      <c r="J18" s="8" t="n">
        <v>1.66545</v>
      </c>
      <c r="K18" s="8" t="n">
        <f aca="false">IF(J18="","",J18*I18)</f>
        <v>8.32725</v>
      </c>
      <c r="L18" s="6" t="n">
        <v>5273</v>
      </c>
      <c r="M18" s="9" t="s">
        <v>23</v>
      </c>
      <c r="N18" s="7"/>
    </row>
    <row r="19" customFormat="false" ht="15" hidden="false" customHeight="false" outlineLevel="0" collapsed="false">
      <c r="A19" s="6" t="n">
        <v>14</v>
      </c>
      <c r="B19" s="6" t="s">
        <v>18</v>
      </c>
      <c r="C19" s="6" t="s">
        <v>41</v>
      </c>
      <c r="D19" s="6" t="s">
        <v>65</v>
      </c>
      <c r="E19" s="7" t="s">
        <v>66</v>
      </c>
      <c r="F19" s="7" t="s">
        <v>67</v>
      </c>
      <c r="G19" s="6" t="n">
        <v>1</v>
      </c>
      <c r="H19" s="6" t="n">
        <v>1</v>
      </c>
      <c r="I19" s="6" t="n">
        <f aca="false">MAX(H19,CEILING(G19*$D$3,H19))</f>
        <v>2</v>
      </c>
      <c r="J19" s="8" t="n">
        <v>16.57</v>
      </c>
      <c r="K19" s="8" t="n">
        <f aca="false">IF(J19="","",J19*I19)</f>
        <v>33.14</v>
      </c>
      <c r="L19" s="6" t="n">
        <v>1200</v>
      </c>
      <c r="M19" s="9" t="s">
        <v>23</v>
      </c>
      <c r="N19" s="7" t="s">
        <v>68</v>
      </c>
    </row>
    <row r="20" customFormat="false" ht="15" hidden="false" customHeight="false" outlineLevel="0" collapsed="false">
      <c r="A20" s="6" t="n">
        <v>15</v>
      </c>
      <c r="B20" s="6" t="s">
        <v>18</v>
      </c>
      <c r="C20" s="6" t="s">
        <v>31</v>
      </c>
      <c r="D20" s="6" t="s">
        <v>69</v>
      </c>
      <c r="E20" s="7" t="s">
        <v>70</v>
      </c>
      <c r="F20" s="7" t="s">
        <v>71</v>
      </c>
      <c r="G20" s="6" t="n">
        <v>2</v>
      </c>
      <c r="H20" s="6" t="n">
        <v>20</v>
      </c>
      <c r="I20" s="6" t="n">
        <f aca="false">MAX(H20,CEILING(G20*$D$3,H20))</f>
        <v>20</v>
      </c>
      <c r="J20" s="8" t="n">
        <v>0.32833</v>
      </c>
      <c r="K20" s="8" t="n">
        <f aca="false">IF(J20="","",J20*I20)</f>
        <v>6.5666</v>
      </c>
      <c r="L20" s="6" t="n">
        <v>171079</v>
      </c>
      <c r="M20" s="9" t="s">
        <v>23</v>
      </c>
      <c r="N20" s="7"/>
    </row>
    <row r="21" customFormat="false" ht="15" hidden="false" customHeight="false" outlineLevel="0" collapsed="false">
      <c r="A21" s="6" t="n">
        <v>16</v>
      </c>
      <c r="B21" s="6" t="s">
        <v>18</v>
      </c>
      <c r="C21" s="6" t="s">
        <v>19</v>
      </c>
      <c r="D21" s="6" t="s">
        <v>72</v>
      </c>
      <c r="E21" s="7" t="s">
        <v>73</v>
      </c>
      <c r="F21" s="7" t="s">
        <v>74</v>
      </c>
      <c r="G21" s="6" t="n">
        <v>1</v>
      </c>
      <c r="H21" s="6" t="n">
        <v>20</v>
      </c>
      <c r="I21" s="6" t="n">
        <f aca="false">MAX(H21,CEILING(G21*$D$3,H21))</f>
        <v>20</v>
      </c>
      <c r="J21" s="8" t="n">
        <v>0.38</v>
      </c>
      <c r="K21" s="8" t="n">
        <f aca="false">IF(J21="","",J21*I21)</f>
        <v>7.6</v>
      </c>
      <c r="L21" s="6" t="n">
        <v>8800</v>
      </c>
      <c r="M21" s="9" t="s">
        <v>23</v>
      </c>
      <c r="N21" s="7" t="s">
        <v>75</v>
      </c>
    </row>
    <row r="22" customFormat="false" ht="15" hidden="false" customHeight="false" outlineLevel="0" collapsed="false">
      <c r="A22" s="6" t="n">
        <v>17</v>
      </c>
      <c r="B22" s="6" t="s">
        <v>18</v>
      </c>
      <c r="C22" s="6" t="s">
        <v>76</v>
      </c>
      <c r="D22" s="6" t="s">
        <v>77</v>
      </c>
      <c r="E22" s="7" t="s">
        <v>78</v>
      </c>
      <c r="F22" s="7" t="s">
        <v>79</v>
      </c>
      <c r="G22" s="6" t="n">
        <v>1</v>
      </c>
      <c r="H22" s="6" t="n">
        <v>1</v>
      </c>
      <c r="I22" s="6" t="n">
        <f aca="false">MAX(H22,CEILING(G22*$D$3,H22))</f>
        <v>2</v>
      </c>
      <c r="J22" s="8" t="n">
        <v>59.2218</v>
      </c>
      <c r="K22" s="8" t="n">
        <f aca="false">IF(J22="","",J22*I22)</f>
        <v>118.4436</v>
      </c>
      <c r="L22" s="6" t="n">
        <v>9</v>
      </c>
      <c r="M22" s="9" t="s">
        <v>23</v>
      </c>
      <c r="N22" s="7"/>
    </row>
    <row r="23" customFormat="false" ht="15" hidden="false" customHeight="false" outlineLevel="0" collapsed="false">
      <c r="A23" s="6" t="n">
        <v>18</v>
      </c>
      <c r="B23" s="6" t="s">
        <v>18</v>
      </c>
      <c r="C23" s="6" t="s">
        <v>80</v>
      </c>
      <c r="D23" s="6" t="s">
        <v>81</v>
      </c>
      <c r="E23" s="7" t="s">
        <v>82</v>
      </c>
      <c r="F23" s="7" t="s">
        <v>83</v>
      </c>
      <c r="G23" s="6" t="n">
        <v>2</v>
      </c>
      <c r="H23" s="6" t="n">
        <v>1</v>
      </c>
      <c r="I23" s="6" t="n">
        <f aca="false">MAX(H23,CEILING(G23*$D$3,H23))</f>
        <v>4</v>
      </c>
      <c r="J23" s="8" t="n">
        <v>61.2682</v>
      </c>
      <c r="K23" s="8" t="n">
        <f aca="false">IF(J23="","",J23*I23)</f>
        <v>245.0728</v>
      </c>
      <c r="L23" s="6" t="n">
        <v>21596</v>
      </c>
      <c r="M23" s="9" t="s">
        <v>23</v>
      </c>
      <c r="N23" s="7"/>
    </row>
    <row r="24" customFormat="false" ht="35.05" hidden="false" customHeight="false" outlineLevel="0" collapsed="false">
      <c r="A24" s="6" t="n">
        <v>19</v>
      </c>
      <c r="B24" s="6" t="s">
        <v>18</v>
      </c>
      <c r="C24" s="6" t="s">
        <v>19</v>
      </c>
      <c r="D24" s="6" t="s">
        <v>84</v>
      </c>
      <c r="E24" s="7" t="s">
        <v>85</v>
      </c>
      <c r="F24" s="7" t="s">
        <v>86</v>
      </c>
      <c r="G24" s="6" t="n">
        <v>17</v>
      </c>
      <c r="H24" s="6" t="n">
        <v>10</v>
      </c>
      <c r="I24" s="6" t="n">
        <f aca="false">MAX(H24,CEILING(G24*$D$3,H24))</f>
        <v>40</v>
      </c>
      <c r="J24" s="8" t="n">
        <v>0.72212</v>
      </c>
      <c r="K24" s="8" t="n">
        <f aca="false">IF(J24="","",J24*I24)</f>
        <v>28.8848</v>
      </c>
      <c r="L24" s="6" t="n">
        <v>8200</v>
      </c>
      <c r="M24" s="9" t="s">
        <v>23</v>
      </c>
      <c r="N24" s="7"/>
    </row>
    <row r="25" customFormat="false" ht="15" hidden="false" customHeight="false" outlineLevel="0" collapsed="false">
      <c r="A25" s="6" t="n">
        <v>20</v>
      </c>
      <c r="B25" s="6" t="s">
        <v>18</v>
      </c>
      <c r="C25" s="6" t="s">
        <v>87</v>
      </c>
      <c r="D25" s="6" t="s">
        <v>88</v>
      </c>
      <c r="E25" s="7" t="s">
        <v>89</v>
      </c>
      <c r="F25" s="7" t="s">
        <v>90</v>
      </c>
      <c r="G25" s="6" t="n">
        <v>1</v>
      </c>
      <c r="H25" s="6" t="n">
        <v>5</v>
      </c>
      <c r="I25" s="6" t="n">
        <f aca="false">MAX(H25,CEILING(G25*$D$3,H25))</f>
        <v>5</v>
      </c>
      <c r="J25" s="8" t="n">
        <v>2.32</v>
      </c>
      <c r="K25" s="8" t="n">
        <f aca="false">IF(J25="","",J25*I25)</f>
        <v>11.6</v>
      </c>
      <c r="L25" s="6" t="n">
        <v>10000</v>
      </c>
      <c r="M25" s="9" t="s">
        <v>23</v>
      </c>
      <c r="N25" s="7" t="s">
        <v>91</v>
      </c>
    </row>
    <row r="26" customFormat="false" ht="23.85" hidden="false" customHeight="false" outlineLevel="0" collapsed="false">
      <c r="A26" s="6" t="n">
        <v>21</v>
      </c>
      <c r="B26" s="6" t="s">
        <v>18</v>
      </c>
      <c r="C26" s="6" t="s">
        <v>92</v>
      </c>
      <c r="D26" s="6" t="s">
        <v>93</v>
      </c>
      <c r="E26" s="7" t="s">
        <v>94</v>
      </c>
      <c r="F26" s="7" t="s">
        <v>95</v>
      </c>
      <c r="G26" s="6" t="n">
        <v>1</v>
      </c>
      <c r="H26" s="6" t="n">
        <v>5</v>
      </c>
      <c r="I26" s="6" t="n">
        <f aca="false">MAX(H26,CEILING(G26*$D$3,H26))</f>
        <v>5</v>
      </c>
      <c r="J26" s="8" t="n">
        <v>1.09266</v>
      </c>
      <c r="K26" s="8" t="n">
        <f aca="false">IF(J26="","",J26*I26)</f>
        <v>5.4633</v>
      </c>
      <c r="L26" s="6" t="n">
        <v>5817</v>
      </c>
      <c r="M26" s="9" t="s">
        <v>23</v>
      </c>
      <c r="N26" s="7"/>
    </row>
    <row r="27" customFormat="false" ht="15" hidden="false" customHeight="false" outlineLevel="0" collapsed="false">
      <c r="A27" s="6" t="n">
        <v>22</v>
      </c>
      <c r="B27" s="6" t="s">
        <v>18</v>
      </c>
      <c r="C27" s="6" t="s">
        <v>96</v>
      </c>
      <c r="D27" s="6" t="s">
        <v>97</v>
      </c>
      <c r="E27" s="7" t="s">
        <v>98</v>
      </c>
      <c r="F27" s="7" t="s">
        <v>99</v>
      </c>
      <c r="G27" s="6" t="n">
        <v>1</v>
      </c>
      <c r="H27" s="6" t="n">
        <v>20</v>
      </c>
      <c r="I27" s="6" t="n">
        <f aca="false">MAX(H27,CEILING(G27*$D$3,H27))</f>
        <v>20</v>
      </c>
      <c r="J27" s="8" t="n">
        <v>0.39058</v>
      </c>
      <c r="K27" s="8" t="n">
        <f aca="false">IF(J27="","",J27*I27)</f>
        <v>7.8116</v>
      </c>
      <c r="L27" s="6" t="n">
        <v>3682437</v>
      </c>
      <c r="M27" s="9" t="s">
        <v>23</v>
      </c>
      <c r="N27" s="7"/>
    </row>
    <row r="28" customFormat="false" ht="35.05" hidden="false" customHeight="false" outlineLevel="0" collapsed="false">
      <c r="A28" s="6" t="n">
        <v>23</v>
      </c>
      <c r="B28" s="6" t="s">
        <v>18</v>
      </c>
      <c r="C28" s="6" t="s">
        <v>100</v>
      </c>
      <c r="D28" s="6" t="s">
        <v>101</v>
      </c>
      <c r="E28" s="7" t="s">
        <v>102</v>
      </c>
      <c r="F28" s="7" t="s">
        <v>103</v>
      </c>
      <c r="G28" s="6" t="n">
        <v>16</v>
      </c>
      <c r="H28" s="6" t="n">
        <v>5</v>
      </c>
      <c r="I28" s="6" t="n">
        <f aca="false">MAX(H28,CEILING(G28*$D$3,H28))</f>
        <v>35</v>
      </c>
      <c r="J28" s="8" t="n">
        <v>1.68922</v>
      </c>
      <c r="K28" s="8" t="n">
        <f aca="false">IF(J28="","",J28*I28)</f>
        <v>59.1227</v>
      </c>
      <c r="L28" s="6" t="n">
        <v>94897</v>
      </c>
      <c r="M28" s="9" t="s">
        <v>23</v>
      </c>
      <c r="N28" s="7"/>
    </row>
    <row r="29" customFormat="false" ht="35.05" hidden="false" customHeight="false" outlineLevel="0" collapsed="false">
      <c r="A29" s="6" t="n">
        <v>24</v>
      </c>
      <c r="B29" s="6" t="s">
        <v>18</v>
      </c>
      <c r="C29" s="6" t="s">
        <v>104</v>
      </c>
      <c r="D29" s="6" t="s">
        <v>105</v>
      </c>
      <c r="E29" s="7" t="s">
        <v>106</v>
      </c>
      <c r="F29" s="7" t="s">
        <v>107</v>
      </c>
      <c r="G29" s="6" t="n">
        <v>16</v>
      </c>
      <c r="H29" s="6" t="n">
        <v>25</v>
      </c>
      <c r="I29" s="6" t="n">
        <f aca="false">MAX(H29,CEILING(G29*$D$3,H29))</f>
        <v>50</v>
      </c>
      <c r="J29" s="8" t="n">
        <v>0.80489</v>
      </c>
      <c r="K29" s="8" t="n">
        <f aca="false">IF(J29="","",J29*I29)</f>
        <v>40.2445</v>
      </c>
      <c r="L29" s="6" t="n">
        <v>180352</v>
      </c>
      <c r="M29" s="9" t="s">
        <v>23</v>
      </c>
      <c r="N29" s="7"/>
    </row>
    <row r="30" customFormat="false" ht="15" hidden="false" customHeight="false" outlineLevel="0" collapsed="false">
      <c r="A30" s="6" t="n">
        <v>25</v>
      </c>
      <c r="B30" s="6" t="s">
        <v>18</v>
      </c>
      <c r="C30" s="6" t="s">
        <v>108</v>
      </c>
      <c r="D30" s="6" t="s">
        <v>109</v>
      </c>
      <c r="E30" s="7" t="s">
        <v>110</v>
      </c>
      <c r="F30" s="7" t="s">
        <v>111</v>
      </c>
      <c r="G30" s="6" t="n">
        <v>1</v>
      </c>
      <c r="H30" s="6" t="n">
        <v>5</v>
      </c>
      <c r="I30" s="6" t="n">
        <f aca="false">MAX(H30,CEILING(G30*$D$3,H30))</f>
        <v>5</v>
      </c>
      <c r="J30" s="8" t="n">
        <v>4.31847</v>
      </c>
      <c r="K30" s="8" t="n">
        <f aca="false">IF(J30="","",J30*I30)</f>
        <v>21.59235</v>
      </c>
      <c r="L30" s="6" t="n">
        <v>6894</v>
      </c>
      <c r="M30" s="9" t="s">
        <v>23</v>
      </c>
      <c r="N30" s="7"/>
    </row>
    <row r="31" customFormat="false" ht="15" hidden="false" customHeight="false" outlineLevel="0" collapsed="false">
      <c r="A31" s="6" t="n">
        <v>26</v>
      </c>
      <c r="B31" s="6" t="s">
        <v>18</v>
      </c>
      <c r="C31" s="6" t="s">
        <v>112</v>
      </c>
      <c r="D31" s="6" t="s">
        <v>113</v>
      </c>
      <c r="E31" s="7" t="s">
        <v>114</v>
      </c>
      <c r="F31" s="7" t="s">
        <v>115</v>
      </c>
      <c r="G31" s="6" t="n">
        <v>1</v>
      </c>
      <c r="H31" s="6" t="n">
        <v>1</v>
      </c>
      <c r="I31" s="6" t="n">
        <f aca="false">MAX(H31,CEILING(G31*$D$3,H31))</f>
        <v>2</v>
      </c>
      <c r="J31" s="8" t="n">
        <v>43.4955</v>
      </c>
      <c r="K31" s="8" t="n">
        <f aca="false">IF(J31="","",J31*I31)</f>
        <v>86.991</v>
      </c>
      <c r="L31" s="6" t="n">
        <v>1802</v>
      </c>
      <c r="M31" s="9" t="s">
        <v>23</v>
      </c>
      <c r="N31" s="7"/>
    </row>
    <row r="32" customFormat="false" ht="15" hidden="false" customHeight="false" outlineLevel="0" collapsed="false">
      <c r="A32" s="6" t="n">
        <v>27</v>
      </c>
      <c r="B32" s="6" t="s">
        <v>18</v>
      </c>
      <c r="C32" s="6" t="s">
        <v>112</v>
      </c>
      <c r="D32" s="6" t="s">
        <v>116</v>
      </c>
      <c r="E32" s="7" t="s">
        <v>117</v>
      </c>
      <c r="F32" s="7" t="s">
        <v>118</v>
      </c>
      <c r="G32" s="6" t="n">
        <v>1</v>
      </c>
      <c r="H32" s="6" t="n">
        <v>1</v>
      </c>
      <c r="I32" s="6" t="n">
        <f aca="false">MAX(H32,CEILING(G32*$D$3,H32))</f>
        <v>2</v>
      </c>
      <c r="J32" s="8" t="n">
        <v>168.233</v>
      </c>
      <c r="K32" s="8" t="n">
        <f aca="false">IF(J32="","",J32*I32)</f>
        <v>336.466</v>
      </c>
      <c r="L32" s="6" t="n">
        <v>820</v>
      </c>
      <c r="M32" s="9" t="s">
        <v>23</v>
      </c>
      <c r="N32" s="7"/>
    </row>
    <row r="33" customFormat="false" ht="15" hidden="false" customHeight="false" outlineLevel="0" collapsed="false">
      <c r="A33" s="6" t="n">
        <v>28</v>
      </c>
      <c r="B33" s="6" t="s">
        <v>18</v>
      </c>
      <c r="C33" s="6" t="s">
        <v>119</v>
      </c>
      <c r="D33" s="6" t="s">
        <v>120</v>
      </c>
      <c r="E33" s="7" t="s">
        <v>121</v>
      </c>
      <c r="F33" s="7" t="s">
        <v>122</v>
      </c>
      <c r="G33" s="6" t="n">
        <v>1</v>
      </c>
      <c r="H33" s="6" t="n">
        <v>1</v>
      </c>
      <c r="I33" s="6" t="n">
        <f aca="false">MAX(H33,CEILING(G33*$D$3,H33))</f>
        <v>2</v>
      </c>
      <c r="J33" s="8" t="n">
        <v>10.6725</v>
      </c>
      <c r="K33" s="8" t="n">
        <f aca="false">IF(J33="","",J33*I33)</f>
        <v>21.345</v>
      </c>
      <c r="L33" s="6" t="n">
        <v>848</v>
      </c>
      <c r="M33" s="9" t="s">
        <v>23</v>
      </c>
      <c r="N33" s="7"/>
    </row>
    <row r="34" customFormat="false" ht="15" hidden="false" customHeight="false" outlineLevel="0" collapsed="false">
      <c r="A34" s="6" t="n">
        <v>29</v>
      </c>
      <c r="B34" s="6" t="s">
        <v>18</v>
      </c>
      <c r="C34" s="6" t="s">
        <v>119</v>
      </c>
      <c r="D34" s="6" t="s">
        <v>123</v>
      </c>
      <c r="E34" s="7" t="s">
        <v>124</v>
      </c>
      <c r="F34" s="7" t="s">
        <v>125</v>
      </c>
      <c r="G34" s="6" t="n">
        <v>1</v>
      </c>
      <c r="H34" s="6" t="n">
        <v>1</v>
      </c>
      <c r="I34" s="6" t="n">
        <f aca="false">MAX(H34,CEILING(G34*$D$3,H34))</f>
        <v>2</v>
      </c>
      <c r="J34" s="8" t="n">
        <v>13.5929</v>
      </c>
      <c r="K34" s="8" t="n">
        <f aca="false">IF(J34="","",J34*I34)</f>
        <v>27.1858</v>
      </c>
      <c r="L34" s="6" t="n">
        <v>239</v>
      </c>
      <c r="M34" s="9" t="s">
        <v>23</v>
      </c>
      <c r="N34" s="7"/>
    </row>
    <row r="35" customFormat="false" ht="15" hidden="false" customHeight="false" outlineLevel="0" collapsed="false">
      <c r="A35" s="6" t="n">
        <v>30</v>
      </c>
      <c r="B35" s="6" t="s">
        <v>18</v>
      </c>
      <c r="C35" s="6" t="s">
        <v>119</v>
      </c>
      <c r="D35" s="6" t="s">
        <v>126</v>
      </c>
      <c r="E35" s="7" t="s">
        <v>127</v>
      </c>
      <c r="F35" s="7" t="s">
        <v>128</v>
      </c>
      <c r="G35" s="6" t="n">
        <v>1</v>
      </c>
      <c r="H35" s="6" t="n">
        <v>1</v>
      </c>
      <c r="I35" s="6" t="n">
        <f aca="false">MAX(H35,CEILING(G35*$D$3,H35))</f>
        <v>2</v>
      </c>
      <c r="J35" s="8" t="n">
        <v>6.41932</v>
      </c>
      <c r="K35" s="8" t="n">
        <f aca="false">IF(J35="","",J35*I35)</f>
        <v>12.83864</v>
      </c>
      <c r="L35" s="6" t="n">
        <v>2384</v>
      </c>
      <c r="M35" s="9" t="s">
        <v>23</v>
      </c>
      <c r="N35" s="7"/>
    </row>
    <row r="36" customFormat="false" ht="15" hidden="false" customHeight="false" outlineLevel="0" collapsed="false">
      <c r="A36" s="6" t="n">
        <v>31</v>
      </c>
      <c r="B36" s="6" t="s">
        <v>18</v>
      </c>
      <c r="C36" s="6" t="s">
        <v>119</v>
      </c>
      <c r="D36" s="6" t="s">
        <v>129</v>
      </c>
      <c r="E36" s="7" t="s">
        <v>130</v>
      </c>
      <c r="F36" s="7" t="s">
        <v>131</v>
      </c>
      <c r="G36" s="6" t="n">
        <v>1</v>
      </c>
      <c r="H36" s="6" t="n">
        <v>1</v>
      </c>
      <c r="I36" s="6" t="n">
        <f aca="false">MAX(H36,CEILING(G36*$D$3,H36))</f>
        <v>2</v>
      </c>
      <c r="J36" s="8" t="n">
        <v>3.20966</v>
      </c>
      <c r="K36" s="8" t="n">
        <f aca="false">IF(J36="","",J36*I36)</f>
        <v>6.41932</v>
      </c>
      <c r="L36" s="6" t="n">
        <v>2659</v>
      </c>
      <c r="M36" s="9" t="s">
        <v>23</v>
      </c>
      <c r="N36" s="7"/>
    </row>
    <row r="37" customFormat="false" ht="15" hidden="false" customHeight="false" outlineLevel="0" collapsed="false">
      <c r="A37" s="6" t="n">
        <v>32</v>
      </c>
      <c r="B37" s="6" t="s">
        <v>18</v>
      </c>
      <c r="C37" s="6" t="s">
        <v>132</v>
      </c>
      <c r="D37" s="6" t="s">
        <v>133</v>
      </c>
      <c r="E37" s="7" t="s">
        <v>134</v>
      </c>
      <c r="F37" s="7" t="s">
        <v>135</v>
      </c>
      <c r="G37" s="6" t="n">
        <v>1</v>
      </c>
      <c r="H37" s="6" t="n">
        <v>1</v>
      </c>
      <c r="I37" s="6" t="n">
        <f aca="false">MAX(H37,CEILING(G37*$D$3,H37))</f>
        <v>2</v>
      </c>
      <c r="J37" s="8" t="n">
        <v>5.51459</v>
      </c>
      <c r="K37" s="8" t="n">
        <f aca="false">IF(J37="","",J37*I37)</f>
        <v>11.02918</v>
      </c>
      <c r="L37" s="6" t="n">
        <v>242</v>
      </c>
      <c r="M37" s="9" t="s">
        <v>23</v>
      </c>
      <c r="N37" s="7" t="s">
        <v>136</v>
      </c>
    </row>
    <row r="38" customFormat="false" ht="23.85" hidden="false" customHeight="false" outlineLevel="0" collapsed="false">
      <c r="A38" s="6" t="n">
        <v>33</v>
      </c>
      <c r="B38" s="6" t="s">
        <v>18</v>
      </c>
      <c r="C38" s="6" t="s">
        <v>137</v>
      </c>
      <c r="D38" s="6" t="s">
        <v>138</v>
      </c>
      <c r="E38" s="7" t="s">
        <v>139</v>
      </c>
      <c r="F38" s="7" t="s">
        <v>140</v>
      </c>
      <c r="G38" s="6" t="n">
        <v>2</v>
      </c>
      <c r="H38" s="6" t="n">
        <v>2</v>
      </c>
      <c r="I38" s="6" t="n">
        <f aca="false">MAX(H38,CEILING(G38*$D$3,H38))</f>
        <v>4</v>
      </c>
      <c r="J38" s="8" t="n">
        <v>4.81449</v>
      </c>
      <c r="K38" s="8" t="n">
        <f aca="false">IF(J38="","",J38*I38)</f>
        <v>19.25796</v>
      </c>
      <c r="L38" s="6" t="n">
        <v>3761</v>
      </c>
      <c r="M38" s="9" t="s">
        <v>23</v>
      </c>
      <c r="N38" s="7"/>
    </row>
    <row r="39" customFormat="false" ht="15" hidden="false" customHeight="false" outlineLevel="0" collapsed="false">
      <c r="A39" s="6" t="n">
        <v>34</v>
      </c>
      <c r="B39" s="6" t="s">
        <v>18</v>
      </c>
      <c r="C39" s="6" t="s">
        <v>119</v>
      </c>
      <c r="D39" s="6" t="s">
        <v>141</v>
      </c>
      <c r="E39" s="7" t="s">
        <v>142</v>
      </c>
      <c r="F39" s="7" t="s">
        <v>143</v>
      </c>
      <c r="G39" s="6" t="n">
        <v>2</v>
      </c>
      <c r="H39" s="6" t="n">
        <v>1</v>
      </c>
      <c r="I39" s="6" t="n">
        <f aca="false">MAX(H39,CEILING(G39*$D$3,H39))</f>
        <v>4</v>
      </c>
      <c r="J39" s="8" t="n">
        <v>15.0281</v>
      </c>
      <c r="K39" s="8" t="n">
        <f aca="false">IF(J39="","",J39*I39)</f>
        <v>60.1124</v>
      </c>
      <c r="L39" s="6" t="n">
        <v>1914</v>
      </c>
      <c r="M39" s="9" t="s">
        <v>23</v>
      </c>
      <c r="N39" s="7"/>
    </row>
    <row r="40" customFormat="false" ht="15" hidden="false" customHeight="false" outlineLevel="0" collapsed="false">
      <c r="A40" s="6" t="n">
        <v>35</v>
      </c>
      <c r="B40" s="6" t="s">
        <v>18</v>
      </c>
      <c r="C40" s="6" t="s">
        <v>137</v>
      </c>
      <c r="D40" s="6" t="s">
        <v>144</v>
      </c>
      <c r="E40" s="7" t="s">
        <v>145</v>
      </c>
      <c r="F40" s="7" t="s">
        <v>146</v>
      </c>
      <c r="G40" s="6" t="n">
        <v>2</v>
      </c>
      <c r="H40" s="6" t="n">
        <v>1</v>
      </c>
      <c r="I40" s="6" t="n">
        <f aca="false">MAX(H40,CEILING(G40*$D$3,H40))</f>
        <v>4</v>
      </c>
      <c r="J40" s="8" t="n">
        <v>6.59833</v>
      </c>
      <c r="K40" s="8" t="n">
        <f aca="false">IF(J40="","",J40*I40)</f>
        <v>26.39332</v>
      </c>
      <c r="L40" s="6" t="n">
        <v>562</v>
      </c>
      <c r="M40" s="9" t="s">
        <v>23</v>
      </c>
      <c r="N40" s="7"/>
    </row>
    <row r="41" customFormat="false" ht="15" hidden="false" customHeight="false" outlineLevel="0" collapsed="false">
      <c r="A41" s="6" t="n">
        <v>36</v>
      </c>
      <c r="B41" s="6" t="s">
        <v>18</v>
      </c>
      <c r="C41" s="6" t="s">
        <v>147</v>
      </c>
      <c r="D41" s="6" t="s">
        <v>148</v>
      </c>
      <c r="E41" s="7" t="s">
        <v>149</v>
      </c>
      <c r="F41" s="7" t="s">
        <v>150</v>
      </c>
      <c r="G41" s="6" t="n">
        <v>1</v>
      </c>
      <c r="H41" s="6" t="n">
        <v>1</v>
      </c>
      <c r="I41" s="6" t="n">
        <f aca="false">MAX(H41,CEILING(G41*$D$3,H41))</f>
        <v>2</v>
      </c>
      <c r="J41" s="8" t="n">
        <v>15.2484</v>
      </c>
      <c r="K41" s="8" t="n">
        <f aca="false">IF(J41="","",J41*I41)</f>
        <v>30.4968</v>
      </c>
      <c r="L41" s="6" t="n">
        <v>5357</v>
      </c>
      <c r="M41" s="9" t="s">
        <v>23</v>
      </c>
      <c r="N41" s="7"/>
    </row>
    <row r="42" customFormat="false" ht="15" hidden="false" customHeight="false" outlineLevel="0" collapsed="false">
      <c r="A42" s="6" t="n">
        <v>37</v>
      </c>
      <c r="B42" s="6" t="s">
        <v>18</v>
      </c>
      <c r="C42" s="6" t="s">
        <v>151</v>
      </c>
      <c r="D42" s="6" t="s">
        <v>152</v>
      </c>
      <c r="E42" s="7" t="s">
        <v>106</v>
      </c>
      <c r="F42" s="7" t="s">
        <v>153</v>
      </c>
      <c r="G42" s="6" t="n">
        <v>1</v>
      </c>
      <c r="H42" s="6" t="n">
        <v>1</v>
      </c>
      <c r="I42" s="6" t="n">
        <f aca="false">MAX(H42,CEILING(G42*$D$3,H42))</f>
        <v>2</v>
      </c>
      <c r="J42" s="8" t="n">
        <v>7.72567</v>
      </c>
      <c r="K42" s="8" t="n">
        <f aca="false">IF(J42="","",J42*I42)</f>
        <v>15.45134</v>
      </c>
      <c r="L42" s="6" t="n">
        <v>43</v>
      </c>
      <c r="M42" s="9" t="s">
        <v>23</v>
      </c>
      <c r="N42" s="7"/>
    </row>
    <row r="43" customFormat="false" ht="35.05" hidden="false" customHeight="false" outlineLevel="0" collapsed="false">
      <c r="A43" s="6" t="n">
        <v>38</v>
      </c>
      <c r="B43" s="6" t="s">
        <v>18</v>
      </c>
      <c r="C43" s="6" t="s">
        <v>154</v>
      </c>
      <c r="D43" s="6" t="s">
        <v>155</v>
      </c>
      <c r="E43" s="7" t="s">
        <v>156</v>
      </c>
      <c r="F43" s="7" t="s">
        <v>157</v>
      </c>
      <c r="G43" s="6" t="n">
        <v>16</v>
      </c>
      <c r="H43" s="6" t="n">
        <v>1</v>
      </c>
      <c r="I43" s="6" t="n">
        <f aca="false">MAX(H43,CEILING(G43*$D$3,H43))</f>
        <v>32</v>
      </c>
      <c r="J43" s="8" t="n">
        <v>13.9152</v>
      </c>
      <c r="K43" s="8" t="n">
        <f aca="false">IF(J43="","",J43*I43)</f>
        <v>445.2864</v>
      </c>
      <c r="L43" s="6" t="n">
        <v>9009</v>
      </c>
      <c r="M43" s="9" t="s">
        <v>23</v>
      </c>
      <c r="N43" s="7"/>
    </row>
    <row r="44" customFormat="false" ht="23.85" hidden="false" customHeight="false" outlineLevel="0" collapsed="false">
      <c r="A44" s="6" t="n">
        <v>39</v>
      </c>
      <c r="B44" s="6" t="s">
        <v>18</v>
      </c>
      <c r="C44" s="6" t="s">
        <v>158</v>
      </c>
      <c r="D44" s="6" t="s">
        <v>159</v>
      </c>
      <c r="E44" s="7" t="s">
        <v>160</v>
      </c>
      <c r="F44" s="7" t="s">
        <v>161</v>
      </c>
      <c r="G44" s="6" t="n">
        <v>8</v>
      </c>
      <c r="H44" s="6" t="n">
        <v>100</v>
      </c>
      <c r="I44" s="6" t="n">
        <f aca="false">MAX(H44,CEILING(G44*$D$3,H44))</f>
        <v>100</v>
      </c>
      <c r="J44" s="8" t="n">
        <v>0.07551</v>
      </c>
      <c r="K44" s="8" t="n">
        <f aca="false">IF(J44="","",J44*I44)</f>
        <v>7.551</v>
      </c>
      <c r="L44" s="6" t="n">
        <v>1146122</v>
      </c>
      <c r="M44" s="9" t="s">
        <v>23</v>
      </c>
      <c r="N44" s="7"/>
    </row>
    <row r="45" customFormat="false" ht="46.25" hidden="false" customHeight="false" outlineLevel="0" collapsed="false">
      <c r="A45" s="6" t="n">
        <v>40</v>
      </c>
      <c r="B45" s="6" t="s">
        <v>18</v>
      </c>
      <c r="C45" s="6" t="s">
        <v>158</v>
      </c>
      <c r="D45" s="6" t="s">
        <v>162</v>
      </c>
      <c r="E45" s="7" t="s">
        <v>163</v>
      </c>
      <c r="F45" s="7" t="s">
        <v>164</v>
      </c>
      <c r="G45" s="6" t="n">
        <v>23</v>
      </c>
      <c r="H45" s="6" t="n">
        <v>100</v>
      </c>
      <c r="I45" s="6" t="n">
        <f aca="false">MAX(H45,CEILING(G45*$D$3,H45))</f>
        <v>100</v>
      </c>
      <c r="J45" s="8" t="n">
        <v>0.08983</v>
      </c>
      <c r="K45" s="8" t="n">
        <f aca="false">IF(J45="","",J45*I45)</f>
        <v>8.983</v>
      </c>
      <c r="L45" s="6" t="n">
        <v>20161</v>
      </c>
      <c r="M45" s="9" t="s">
        <v>23</v>
      </c>
      <c r="N45" s="7" t="s">
        <v>165</v>
      </c>
    </row>
    <row r="46" customFormat="false" ht="15" hidden="false" customHeight="false" outlineLevel="0" collapsed="false">
      <c r="A46" s="6" t="n">
        <v>41</v>
      </c>
      <c r="B46" s="6" t="s">
        <v>18</v>
      </c>
      <c r="C46" s="6" t="s">
        <v>166</v>
      </c>
      <c r="D46" s="6" t="s">
        <v>167</v>
      </c>
      <c r="E46" s="7" t="s">
        <v>168</v>
      </c>
      <c r="F46" s="7" t="s">
        <v>169</v>
      </c>
      <c r="G46" s="6" t="n">
        <v>1</v>
      </c>
      <c r="H46" s="6" t="n">
        <v>1</v>
      </c>
      <c r="I46" s="6" t="n">
        <f aca="false">MAX(H46,CEILING(G46*$D$3,H46))</f>
        <v>2</v>
      </c>
      <c r="J46" s="8" t="n">
        <v>57.2743</v>
      </c>
      <c r="K46" s="8" t="n">
        <f aca="false">IF(J46="","",J46*I46)</f>
        <v>114.5486</v>
      </c>
      <c r="L46" s="6" t="n">
        <v>2033</v>
      </c>
      <c r="M46" s="9" t="s">
        <v>23</v>
      </c>
      <c r="N46" s="7"/>
    </row>
    <row r="47" customFormat="false" ht="15" hidden="false" customHeight="false" outlineLevel="0" collapsed="false">
      <c r="A47" s="6" t="n">
        <v>42</v>
      </c>
      <c r="B47" s="6" t="s">
        <v>18</v>
      </c>
      <c r="C47" s="6" t="s">
        <v>31</v>
      </c>
      <c r="D47" s="6" t="s">
        <v>170</v>
      </c>
      <c r="E47" s="7" t="s">
        <v>171</v>
      </c>
      <c r="F47" s="7" t="s">
        <v>172</v>
      </c>
      <c r="G47" s="6" t="n">
        <v>3</v>
      </c>
      <c r="H47" s="6" t="n">
        <v>100</v>
      </c>
      <c r="I47" s="6" t="n">
        <f aca="false">MAX(H47,CEILING(G47*$D$3,H47))</f>
        <v>100</v>
      </c>
      <c r="J47" s="8" t="n">
        <v>0.11197</v>
      </c>
      <c r="K47" s="8" t="n">
        <f aca="false">IF(J47="","",J47*I47)</f>
        <v>11.197</v>
      </c>
      <c r="L47" s="6" t="n">
        <v>71755</v>
      </c>
      <c r="M47" s="9" t="s">
        <v>23</v>
      </c>
      <c r="N47" s="7"/>
    </row>
    <row r="48" customFormat="false" ht="35.05" hidden="false" customHeight="false" outlineLevel="0" collapsed="false">
      <c r="A48" s="6" t="n">
        <v>43</v>
      </c>
      <c r="B48" s="6" t="s">
        <v>18</v>
      </c>
      <c r="C48" s="6" t="s">
        <v>158</v>
      </c>
      <c r="D48" s="6" t="s">
        <v>173</v>
      </c>
      <c r="E48" s="7" t="s">
        <v>174</v>
      </c>
      <c r="F48" s="7" t="s">
        <v>175</v>
      </c>
      <c r="G48" s="6" t="n">
        <v>17</v>
      </c>
      <c r="H48" s="6" t="n">
        <v>100</v>
      </c>
      <c r="I48" s="6" t="n">
        <f aca="false">MAX(H48,CEILING(G48*$D$3,H48))</f>
        <v>100</v>
      </c>
      <c r="J48" s="8" t="n">
        <v>0.08983</v>
      </c>
      <c r="K48" s="8" t="n">
        <f aca="false">IF(J48="","",J48*I48)</f>
        <v>8.983</v>
      </c>
      <c r="L48" s="6" t="n">
        <v>2107</v>
      </c>
      <c r="M48" s="9" t="s">
        <v>23</v>
      </c>
      <c r="N48" s="7"/>
    </row>
    <row r="49" customFormat="false" ht="15" hidden="false" customHeight="false" outlineLevel="0" collapsed="false">
      <c r="A49" s="6" t="n">
        <v>44</v>
      </c>
      <c r="B49" s="6" t="s">
        <v>18</v>
      </c>
      <c r="C49" s="6" t="s">
        <v>158</v>
      </c>
      <c r="D49" s="6" t="s">
        <v>176</v>
      </c>
      <c r="E49" s="7" t="s">
        <v>177</v>
      </c>
      <c r="F49" s="7" t="s">
        <v>178</v>
      </c>
      <c r="G49" s="6" t="n">
        <v>1</v>
      </c>
      <c r="H49" s="6" t="n">
        <v>100</v>
      </c>
      <c r="I49" s="6" t="n">
        <f aca="false">MAX(H49,CEILING(G49*$D$3,H49))</f>
        <v>100</v>
      </c>
      <c r="J49" s="8" t="n">
        <v>0.08983</v>
      </c>
      <c r="K49" s="8" t="n">
        <f aca="false">IF(J49="","",J49*I49)</f>
        <v>8.983</v>
      </c>
      <c r="L49" s="6" t="n">
        <v>12800</v>
      </c>
      <c r="M49" s="9" t="s">
        <v>23</v>
      </c>
      <c r="N49" s="7"/>
    </row>
    <row r="50" customFormat="false" ht="15" hidden="false" customHeight="false" outlineLevel="0" collapsed="false">
      <c r="A50" s="6" t="n">
        <v>45</v>
      </c>
      <c r="B50" s="6" t="s">
        <v>18</v>
      </c>
      <c r="C50" s="6" t="s">
        <v>158</v>
      </c>
      <c r="D50" s="6" t="s">
        <v>179</v>
      </c>
      <c r="E50" s="7" t="s">
        <v>180</v>
      </c>
      <c r="F50" s="7" t="s">
        <v>181</v>
      </c>
      <c r="G50" s="6" t="n">
        <v>1</v>
      </c>
      <c r="H50" s="6" t="n">
        <v>100</v>
      </c>
      <c r="I50" s="6" t="n">
        <f aca="false">MAX(H50,CEILING(G50*$D$3,H50))</f>
        <v>100</v>
      </c>
      <c r="J50" s="8" t="n">
        <v>0.08983</v>
      </c>
      <c r="K50" s="8" t="n">
        <f aca="false">IF(J50="","",J50*I50)</f>
        <v>8.983</v>
      </c>
      <c r="L50" s="6" t="n">
        <v>196796</v>
      </c>
      <c r="M50" s="9" t="s">
        <v>23</v>
      </c>
      <c r="N50" s="7"/>
    </row>
    <row r="51" customFormat="false" ht="15" hidden="false" customHeight="false" outlineLevel="0" collapsed="false">
      <c r="A51" s="6" t="n">
        <v>46</v>
      </c>
      <c r="B51" s="6" t="s">
        <v>18</v>
      </c>
      <c r="C51" s="6" t="s">
        <v>158</v>
      </c>
      <c r="D51" s="6" t="s">
        <v>182</v>
      </c>
      <c r="E51" s="7" t="s">
        <v>183</v>
      </c>
      <c r="F51" s="7" t="s">
        <v>184</v>
      </c>
      <c r="G51" s="6" t="n">
        <v>1</v>
      </c>
      <c r="H51" s="6" t="n">
        <v>100</v>
      </c>
      <c r="I51" s="6" t="n">
        <f aca="false">MAX(H51,CEILING(G51*$D$3,H51))</f>
        <v>100</v>
      </c>
      <c r="J51" s="8" t="n">
        <v>0.08983</v>
      </c>
      <c r="K51" s="8" t="n">
        <f aca="false">IF(J51="","",J51*I51)</f>
        <v>8.983</v>
      </c>
      <c r="L51" s="6" t="n">
        <v>133901</v>
      </c>
      <c r="M51" s="9" t="s">
        <v>23</v>
      </c>
      <c r="N51" s="7"/>
    </row>
    <row r="52" customFormat="false" ht="15" hidden="false" customHeight="false" outlineLevel="0" collapsed="false">
      <c r="A52" s="6" t="n">
        <v>47</v>
      </c>
      <c r="B52" s="6" t="s">
        <v>18</v>
      </c>
      <c r="C52" s="6" t="s">
        <v>158</v>
      </c>
      <c r="D52" s="6" t="s">
        <v>185</v>
      </c>
      <c r="E52" s="7" t="s">
        <v>186</v>
      </c>
      <c r="F52" s="7" t="s">
        <v>187</v>
      </c>
      <c r="G52" s="6" t="n">
        <v>2</v>
      </c>
      <c r="H52" s="6" t="n">
        <v>100</v>
      </c>
      <c r="I52" s="6" t="n">
        <f aca="false">MAX(H52,CEILING(G52*$D$3,H52))</f>
        <v>100</v>
      </c>
      <c r="J52" s="8" t="n">
        <v>0.08983</v>
      </c>
      <c r="K52" s="8" t="n">
        <f aca="false">IF(J52="","",J52*I52)</f>
        <v>8.983</v>
      </c>
      <c r="L52" s="6" t="n">
        <v>4600</v>
      </c>
      <c r="M52" s="9" t="s">
        <v>23</v>
      </c>
      <c r="N52" s="7"/>
    </row>
    <row r="53" customFormat="false" ht="15" hidden="false" customHeight="false" outlineLevel="0" collapsed="false">
      <c r="A53" s="6" t="n">
        <v>48</v>
      </c>
      <c r="B53" s="6" t="s">
        <v>18</v>
      </c>
      <c r="C53" s="6" t="s">
        <v>158</v>
      </c>
      <c r="D53" s="6" t="s">
        <v>188</v>
      </c>
      <c r="E53" s="7" t="s">
        <v>189</v>
      </c>
      <c r="F53" s="7" t="s">
        <v>190</v>
      </c>
      <c r="G53" s="6" t="n">
        <v>1</v>
      </c>
      <c r="H53" s="6" t="n">
        <v>50</v>
      </c>
      <c r="I53" s="6" t="n">
        <f aca="false">MAX(H53,CEILING(G53*$D$3,H53))</f>
        <v>50</v>
      </c>
      <c r="J53" s="8" t="n">
        <v>0.16631</v>
      </c>
      <c r="K53" s="8" t="n">
        <f aca="false">IF(J53="","",J53*I53)</f>
        <v>8.3155</v>
      </c>
      <c r="L53" s="6" t="n">
        <v>78295</v>
      </c>
      <c r="M53" s="9" t="s">
        <v>23</v>
      </c>
      <c r="N53" s="7"/>
    </row>
    <row r="54" customFormat="false" ht="15" hidden="false" customHeight="false" outlineLevel="0" collapsed="false">
      <c r="A54" s="6" t="n">
        <v>49</v>
      </c>
      <c r="B54" s="6" t="s">
        <v>18</v>
      </c>
      <c r="C54" s="6" t="s">
        <v>158</v>
      </c>
      <c r="D54" s="6" t="s">
        <v>191</v>
      </c>
      <c r="E54" s="7" t="s">
        <v>192</v>
      </c>
      <c r="F54" s="7" t="s">
        <v>193</v>
      </c>
      <c r="G54" s="6" t="n">
        <v>1</v>
      </c>
      <c r="H54" s="6" t="n">
        <v>100</v>
      </c>
      <c r="I54" s="6" t="n">
        <f aca="false">MAX(H54,CEILING(G54*$D$3,H54))</f>
        <v>100</v>
      </c>
      <c r="J54" s="8" t="n">
        <v>0.08983</v>
      </c>
      <c r="K54" s="8" t="n">
        <f aca="false">IF(J54="","",J54*I54)</f>
        <v>8.983</v>
      </c>
      <c r="L54" s="6" t="n">
        <v>11200</v>
      </c>
      <c r="M54" s="9" t="s">
        <v>23</v>
      </c>
      <c r="N54" s="7"/>
    </row>
    <row r="55" customFormat="false" ht="15" hidden="false" customHeight="false" outlineLevel="0" collapsed="false">
      <c r="A55" s="6" t="n">
        <v>50</v>
      </c>
      <c r="B55" s="6" t="s">
        <v>18</v>
      </c>
      <c r="C55" s="6" t="s">
        <v>158</v>
      </c>
      <c r="D55" s="6" t="s">
        <v>194</v>
      </c>
      <c r="E55" s="7" t="s">
        <v>195</v>
      </c>
      <c r="F55" s="7" t="s">
        <v>196</v>
      </c>
      <c r="G55" s="6" t="n">
        <v>1</v>
      </c>
      <c r="H55" s="6" t="n">
        <v>100</v>
      </c>
      <c r="I55" s="6" t="n">
        <f aca="false">MAX(H55,CEILING(G55*$D$3,H55))</f>
        <v>100</v>
      </c>
      <c r="J55" s="8" t="n">
        <v>0.08983</v>
      </c>
      <c r="K55" s="8" t="n">
        <f aca="false">IF(J55="","",J55*I55)</f>
        <v>8.983</v>
      </c>
      <c r="L55" s="6" t="n">
        <v>25918</v>
      </c>
      <c r="M55" s="9" t="s">
        <v>23</v>
      </c>
      <c r="N55" s="7"/>
    </row>
    <row r="56" customFormat="false" ht="15" hidden="false" customHeight="false" outlineLevel="0" collapsed="false">
      <c r="A56" s="6" t="n">
        <v>51</v>
      </c>
      <c r="B56" s="6" t="s">
        <v>18</v>
      </c>
      <c r="C56" s="6" t="s">
        <v>158</v>
      </c>
      <c r="D56" s="6" t="s">
        <v>197</v>
      </c>
      <c r="E56" s="7" t="s">
        <v>198</v>
      </c>
      <c r="F56" s="7" t="s">
        <v>199</v>
      </c>
      <c r="G56" s="6" t="n">
        <v>1</v>
      </c>
      <c r="H56" s="6" t="n">
        <v>100</v>
      </c>
      <c r="I56" s="6" t="n">
        <f aca="false">MAX(H56,CEILING(G56*$D$3,H56))</f>
        <v>100</v>
      </c>
      <c r="J56" s="8" t="n">
        <v>0.08983</v>
      </c>
      <c r="K56" s="8" t="n">
        <f aca="false">IF(J56="","",J56*I56)</f>
        <v>8.983</v>
      </c>
      <c r="L56" s="6" t="n">
        <v>236313</v>
      </c>
      <c r="M56" s="9" t="s">
        <v>23</v>
      </c>
      <c r="N56" s="7"/>
    </row>
    <row r="57" customFormat="false" ht="35.05" hidden="false" customHeight="false" outlineLevel="0" collapsed="false">
      <c r="A57" s="6" t="n">
        <v>52</v>
      </c>
      <c r="B57" s="6" t="s">
        <v>18</v>
      </c>
      <c r="C57" s="6" t="s">
        <v>158</v>
      </c>
      <c r="D57" s="6" t="s">
        <v>200</v>
      </c>
      <c r="E57" s="7" t="s">
        <v>201</v>
      </c>
      <c r="F57" s="7" t="s">
        <v>202</v>
      </c>
      <c r="G57" s="6" t="n">
        <v>18</v>
      </c>
      <c r="H57" s="6" t="n">
        <v>100</v>
      </c>
      <c r="I57" s="6" t="n">
        <f aca="false">MAX(H57,CEILING(G57*$D$3,H57))</f>
        <v>100</v>
      </c>
      <c r="J57" s="8" t="n">
        <v>0.08983</v>
      </c>
      <c r="K57" s="8" t="n">
        <f aca="false">IF(J57="","",J57*I57)</f>
        <v>8.983</v>
      </c>
      <c r="L57" s="6" t="n">
        <v>18318</v>
      </c>
      <c r="M57" s="9" t="s">
        <v>23</v>
      </c>
      <c r="N57" s="7"/>
    </row>
    <row r="58" customFormat="false" ht="15" hidden="false" customHeight="false" outlineLevel="0" collapsed="false">
      <c r="A58" s="6" t="n">
        <v>53</v>
      </c>
      <c r="B58" s="6" t="s">
        <v>18</v>
      </c>
      <c r="C58" s="6" t="s">
        <v>158</v>
      </c>
      <c r="D58" s="6" t="s">
        <v>203</v>
      </c>
      <c r="E58" s="7" t="s">
        <v>204</v>
      </c>
      <c r="F58" s="7" t="s">
        <v>205</v>
      </c>
      <c r="G58" s="6" t="n">
        <v>1</v>
      </c>
      <c r="H58" s="6" t="n">
        <v>5</v>
      </c>
      <c r="I58" s="6" t="n">
        <f aca="false">MAX(H58,CEILING(G58*$D$3,H58))</f>
        <v>5</v>
      </c>
      <c r="J58" s="8" t="n">
        <v>1.76491</v>
      </c>
      <c r="K58" s="8" t="n">
        <f aca="false">IF(J58="","",J58*I58)</f>
        <v>8.82455</v>
      </c>
      <c r="L58" s="6" t="n">
        <v>2400</v>
      </c>
      <c r="M58" s="9" t="s">
        <v>23</v>
      </c>
      <c r="N58" s="7" t="s">
        <v>206</v>
      </c>
    </row>
    <row r="59" customFormat="false" ht="35.05" hidden="false" customHeight="false" outlineLevel="0" collapsed="false">
      <c r="A59" s="10" t="n">
        <v>54</v>
      </c>
      <c r="B59" s="10" t="s">
        <v>18</v>
      </c>
      <c r="C59" s="10" t="s">
        <v>158</v>
      </c>
      <c r="D59" s="10" t="s">
        <v>207</v>
      </c>
      <c r="E59" s="11" t="s">
        <v>208</v>
      </c>
      <c r="F59" s="11" t="s">
        <v>209</v>
      </c>
      <c r="G59" s="10" t="n">
        <v>16</v>
      </c>
      <c r="H59" s="10" t="n">
        <v>1</v>
      </c>
      <c r="I59" s="10" t="n">
        <f aca="false">MAX(H59,CEILING(G59*$D$3,H59))</f>
        <v>32</v>
      </c>
      <c r="J59" s="12" t="n">
        <v>6.87739</v>
      </c>
      <c r="K59" s="12" t="n">
        <f aca="false">IF(J59="","",J59*I59)</f>
        <v>220.07648</v>
      </c>
      <c r="L59" s="10" t="n">
        <v>857</v>
      </c>
      <c r="M59" s="13" t="s">
        <v>23</v>
      </c>
      <c r="N59" s="11" t="s">
        <v>210</v>
      </c>
    </row>
    <row r="60" customFormat="false" ht="15" hidden="false" customHeight="false" outlineLevel="0" collapsed="false">
      <c r="A60" s="6" t="n">
        <v>55</v>
      </c>
      <c r="B60" s="6" t="s">
        <v>18</v>
      </c>
      <c r="C60" s="6" t="s">
        <v>158</v>
      </c>
      <c r="D60" s="6" t="s">
        <v>211</v>
      </c>
      <c r="E60" s="7" t="s">
        <v>212</v>
      </c>
      <c r="F60" s="7" t="s">
        <v>213</v>
      </c>
      <c r="G60" s="6" t="n">
        <v>1</v>
      </c>
      <c r="H60" s="6" t="n">
        <v>100</v>
      </c>
      <c r="I60" s="6" t="n">
        <f aca="false">MAX(H60,CEILING(G60*$D$3,H60))</f>
        <v>100</v>
      </c>
      <c r="J60" s="8" t="n">
        <v>0.08983</v>
      </c>
      <c r="K60" s="8" t="n">
        <f aca="false">IF(J60="","",J60*I60)</f>
        <v>8.983</v>
      </c>
      <c r="L60" s="6" t="n">
        <v>1860</v>
      </c>
      <c r="M60" s="9" t="s">
        <v>23</v>
      </c>
      <c r="N60" s="7"/>
    </row>
    <row r="61" customFormat="false" ht="15" hidden="false" customHeight="false" outlineLevel="0" collapsed="false">
      <c r="A61" s="6" t="n">
        <v>56</v>
      </c>
      <c r="B61" s="6" t="s">
        <v>18</v>
      </c>
      <c r="C61" s="6" t="s">
        <v>214</v>
      </c>
      <c r="D61" s="6" t="s">
        <v>215</v>
      </c>
      <c r="E61" s="7" t="s">
        <v>216</v>
      </c>
      <c r="F61" s="7" t="s">
        <v>217</v>
      </c>
      <c r="G61" s="6" t="n">
        <v>2</v>
      </c>
      <c r="H61" s="6" t="n">
        <v>2</v>
      </c>
      <c r="I61" s="6" t="n">
        <f aca="false">MAX(H61,CEILING(G61*$D$3,H61))</f>
        <v>4</v>
      </c>
      <c r="J61" s="8" t="n">
        <v>3.63528</v>
      </c>
      <c r="K61" s="8" t="n">
        <f aca="false">IF(J61="","",J61*I61)</f>
        <v>14.54112</v>
      </c>
      <c r="L61" s="6" t="n">
        <v>862040</v>
      </c>
      <c r="M61" s="9" t="s">
        <v>23</v>
      </c>
      <c r="N61" s="7"/>
    </row>
    <row r="62" customFormat="false" ht="15" hidden="false" customHeight="false" outlineLevel="0" collapsed="false">
      <c r="A62" s="6" t="n">
        <v>57</v>
      </c>
      <c r="B62" s="6" t="s">
        <v>18</v>
      </c>
      <c r="C62" s="6" t="s">
        <v>214</v>
      </c>
      <c r="D62" s="6" t="s">
        <v>218</v>
      </c>
      <c r="E62" s="7" t="s">
        <v>219</v>
      </c>
      <c r="F62" s="7" t="s">
        <v>220</v>
      </c>
      <c r="G62" s="6" t="n">
        <v>1</v>
      </c>
      <c r="H62" s="6" t="n">
        <v>1</v>
      </c>
      <c r="I62" s="6" t="n">
        <f aca="false">MAX(H62,CEILING(G62*$D$3,H62))</f>
        <v>2</v>
      </c>
      <c r="J62" s="8" t="n">
        <v>20.7442</v>
      </c>
      <c r="K62" s="8" t="n">
        <f aca="false">IF(J62="","",J62*I62)</f>
        <v>41.4884</v>
      </c>
      <c r="L62" s="6" t="n">
        <v>211</v>
      </c>
      <c r="M62" s="9" t="s">
        <v>23</v>
      </c>
      <c r="N62" s="7"/>
    </row>
    <row r="63" customFormat="false" ht="15" hidden="false" customHeight="false" outlineLevel="0" collapsed="false">
      <c r="A63" s="6" t="n">
        <v>58</v>
      </c>
      <c r="B63" s="6" t="s">
        <v>18</v>
      </c>
      <c r="C63" s="6" t="s">
        <v>41</v>
      </c>
      <c r="D63" s="6" t="s">
        <v>221</v>
      </c>
      <c r="E63" s="7" t="s">
        <v>222</v>
      </c>
      <c r="F63" s="7" t="s">
        <v>223</v>
      </c>
      <c r="G63" s="6" t="n">
        <v>3</v>
      </c>
      <c r="H63" s="6" t="n">
        <v>2</v>
      </c>
      <c r="I63" s="6" t="n">
        <f aca="false">MAX(H63,CEILING(G63*$D$3,H63))</f>
        <v>6</v>
      </c>
      <c r="J63" s="8" t="n">
        <v>14.28</v>
      </c>
      <c r="K63" s="8" t="n">
        <f aca="false">IF(J63="","",J63*I63)</f>
        <v>85.68</v>
      </c>
      <c r="L63" s="6" t="n">
        <v>93</v>
      </c>
      <c r="M63" s="9" t="s">
        <v>23</v>
      </c>
      <c r="N63" s="7" t="s">
        <v>224</v>
      </c>
    </row>
    <row r="64" customFormat="false" ht="15" hidden="false" customHeight="false" outlineLevel="0" collapsed="false">
      <c r="A64" s="6" t="n">
        <v>59</v>
      </c>
      <c r="B64" s="6" t="s">
        <v>18</v>
      </c>
      <c r="C64" s="6" t="s">
        <v>112</v>
      </c>
      <c r="D64" s="6" t="s">
        <v>225</v>
      </c>
      <c r="E64" s="7" t="s">
        <v>226</v>
      </c>
      <c r="F64" s="7" t="s">
        <v>227</v>
      </c>
      <c r="G64" s="6" t="n">
        <v>1</v>
      </c>
      <c r="H64" s="6" t="n">
        <v>1</v>
      </c>
      <c r="I64" s="6" t="n">
        <f aca="false">MAX(H64,CEILING(G64*$D$3,H64))</f>
        <v>2</v>
      </c>
      <c r="J64" s="8" t="n">
        <v>36.2462</v>
      </c>
      <c r="K64" s="8" t="n">
        <f aca="false">IF(J64="","",J64*I64)</f>
        <v>72.4924</v>
      </c>
      <c r="L64" s="6" t="n">
        <v>2474</v>
      </c>
      <c r="M64" s="9" t="s">
        <v>23</v>
      </c>
      <c r="N64" s="7"/>
    </row>
    <row r="65" customFormat="false" ht="15" hidden="false" customHeight="false" outlineLevel="0" collapsed="false">
      <c r="A65" s="6" t="n">
        <v>60</v>
      </c>
      <c r="B65" s="6" t="s">
        <v>18</v>
      </c>
      <c r="C65" s="6" t="s">
        <v>87</v>
      </c>
      <c r="D65" s="6" t="s">
        <v>228</v>
      </c>
      <c r="E65" s="7" t="s">
        <v>229</v>
      </c>
      <c r="F65" s="7" t="s">
        <v>230</v>
      </c>
      <c r="G65" s="6" t="n">
        <v>1</v>
      </c>
      <c r="H65" s="6" t="n">
        <v>1</v>
      </c>
      <c r="I65" s="6" t="n">
        <f aca="false">MAX(H65,CEILING(G65*$D$3,H65))</f>
        <v>2</v>
      </c>
      <c r="J65" s="8" t="n">
        <v>166.649</v>
      </c>
      <c r="K65" s="8" t="n">
        <f aca="false">IF(J65="","",J65*I65)</f>
        <v>333.298</v>
      </c>
      <c r="L65" s="6" t="n">
        <v>3327</v>
      </c>
      <c r="M65" s="9" t="s">
        <v>23</v>
      </c>
      <c r="N65" s="7"/>
    </row>
    <row r="66" customFormat="false" ht="15" hidden="false" customHeight="false" outlineLevel="0" collapsed="false">
      <c r="A66" s="6" t="n">
        <v>61</v>
      </c>
      <c r="B66" s="6" t="s">
        <v>18</v>
      </c>
      <c r="C66" s="6" t="s">
        <v>112</v>
      </c>
      <c r="D66" s="6" t="s">
        <v>231</v>
      </c>
      <c r="E66" s="7" t="s">
        <v>232</v>
      </c>
      <c r="F66" s="7" t="s">
        <v>233</v>
      </c>
      <c r="G66" s="6" t="n">
        <v>1</v>
      </c>
      <c r="H66" s="6" t="n">
        <v>1</v>
      </c>
      <c r="I66" s="6" t="n">
        <f aca="false">MAX(H66,CEILING(G66*$D$3,H66))</f>
        <v>2</v>
      </c>
      <c r="J66" s="8" t="n">
        <v>93.5387</v>
      </c>
      <c r="K66" s="8" t="n">
        <f aca="false">IF(J66="","",J66*I66)</f>
        <v>187.0774</v>
      </c>
      <c r="L66" s="6" t="n">
        <v>760</v>
      </c>
      <c r="M66" s="9" t="s">
        <v>23</v>
      </c>
      <c r="N66" s="7"/>
    </row>
    <row r="67" customFormat="false" ht="15" hidden="false" customHeight="false" outlineLevel="0" collapsed="false">
      <c r="A67" s="6" t="n">
        <v>62</v>
      </c>
      <c r="B67" s="6" t="s">
        <v>18</v>
      </c>
      <c r="C67" s="6" t="s">
        <v>234</v>
      </c>
      <c r="D67" s="6" t="s">
        <v>235</v>
      </c>
      <c r="E67" s="7" t="s">
        <v>236</v>
      </c>
      <c r="F67" s="7" t="s">
        <v>237</v>
      </c>
      <c r="G67" s="6" t="n">
        <v>1</v>
      </c>
      <c r="H67" s="6" t="n">
        <v>1</v>
      </c>
      <c r="I67" s="6" t="n">
        <f aca="false">MAX(H67,CEILING(G67*$D$3,H67))</f>
        <v>2</v>
      </c>
      <c r="J67" s="8" t="n">
        <v>12.1576</v>
      </c>
      <c r="K67" s="8" t="n">
        <f aca="false">IF(J67="","",J67*I67)</f>
        <v>24.3152</v>
      </c>
      <c r="L67" s="6" t="n">
        <v>262737</v>
      </c>
      <c r="M67" s="9" t="s">
        <v>23</v>
      </c>
      <c r="N67" s="7"/>
    </row>
    <row r="68" customFormat="false" ht="15" hidden="false" customHeight="false" outlineLevel="0" collapsed="false">
      <c r="A68" s="6" t="n">
        <v>63</v>
      </c>
      <c r="B68" s="6" t="s">
        <v>18</v>
      </c>
      <c r="C68" s="6" t="s">
        <v>238</v>
      </c>
      <c r="D68" s="6" t="s">
        <v>239</v>
      </c>
      <c r="E68" s="7" t="s">
        <v>240</v>
      </c>
      <c r="F68" s="7" t="s">
        <v>241</v>
      </c>
      <c r="G68" s="6" t="n">
        <v>1</v>
      </c>
      <c r="H68" s="6" t="n">
        <v>1</v>
      </c>
      <c r="I68" s="6" t="n">
        <f aca="false">MAX(H68,CEILING(G68*$D$3,H68))</f>
        <v>2</v>
      </c>
      <c r="J68" s="8" t="n">
        <v>7.04584</v>
      </c>
      <c r="K68" s="8" t="n">
        <f aca="false">IF(J68="","",J68*I68)</f>
        <v>14.09168</v>
      </c>
      <c r="L68" s="6" t="n">
        <v>2945</v>
      </c>
      <c r="M68" s="9" t="s">
        <v>23</v>
      </c>
      <c r="N68" s="7" t="s">
        <v>242</v>
      </c>
    </row>
    <row r="69" customFormat="false" ht="15" hidden="false" customHeight="false" outlineLevel="0" collapsed="false">
      <c r="A69" s="6" t="n">
        <v>64</v>
      </c>
      <c r="B69" s="6" t="s">
        <v>18</v>
      </c>
      <c r="C69" s="6" t="s">
        <v>119</v>
      </c>
      <c r="D69" s="6" t="s">
        <v>243</v>
      </c>
      <c r="E69" s="7" t="s">
        <v>244</v>
      </c>
      <c r="F69" s="7" t="s">
        <v>245</v>
      </c>
      <c r="G69" s="6" t="n">
        <v>1</v>
      </c>
      <c r="H69" s="6" t="n">
        <v>1</v>
      </c>
      <c r="I69" s="6" t="n">
        <f aca="false">MAX(H69,CEILING(G69*$D$3,H69))</f>
        <v>2</v>
      </c>
      <c r="J69" s="8" t="n">
        <v>34.3892</v>
      </c>
      <c r="K69" s="8" t="n">
        <f aca="false">IF(J69="","",J69*I69)</f>
        <v>68.7784</v>
      </c>
      <c r="L69" s="6" t="n">
        <v>16121</v>
      </c>
      <c r="M69" s="9" t="s">
        <v>23</v>
      </c>
      <c r="N69" s="7"/>
    </row>
    <row r="70" customFormat="false" ht="15" hidden="false" customHeight="false" outlineLevel="0" collapsed="false">
      <c r="A70" s="6" t="n">
        <v>65</v>
      </c>
      <c r="B70" s="6" t="s">
        <v>18</v>
      </c>
      <c r="C70" s="6" t="s">
        <v>119</v>
      </c>
      <c r="D70" s="6" t="s">
        <v>246</v>
      </c>
      <c r="E70" s="7" t="s">
        <v>247</v>
      </c>
      <c r="F70" s="7" t="s">
        <v>248</v>
      </c>
      <c r="G70" s="6" t="n">
        <v>1</v>
      </c>
      <c r="H70" s="6" t="n">
        <v>1</v>
      </c>
      <c r="I70" s="6" t="n">
        <f aca="false">MAX(H70,CEILING(G70*$D$3,H70))</f>
        <v>2</v>
      </c>
      <c r="J70" s="8" t="n">
        <v>36.8951</v>
      </c>
      <c r="K70" s="8" t="n">
        <f aca="false">IF(J70="","",J70*I70)</f>
        <v>73.7902</v>
      </c>
      <c r="L70" s="6" t="n">
        <v>276</v>
      </c>
      <c r="M70" s="9" t="s">
        <v>23</v>
      </c>
      <c r="N70" s="7"/>
    </row>
    <row r="71" customFormat="false" ht="15" hidden="false" customHeight="false" outlineLevel="0" collapsed="false">
      <c r="A71" s="6" t="n">
        <v>66</v>
      </c>
      <c r="B71" s="6" t="s">
        <v>18</v>
      </c>
      <c r="C71" s="6" t="s">
        <v>119</v>
      </c>
      <c r="D71" s="6" t="s">
        <v>249</v>
      </c>
      <c r="E71" s="7" t="s">
        <v>250</v>
      </c>
      <c r="F71" s="7" t="s">
        <v>251</v>
      </c>
      <c r="G71" s="6" t="n">
        <v>1</v>
      </c>
      <c r="H71" s="6" t="n">
        <v>1</v>
      </c>
      <c r="I71" s="6" t="n">
        <f aca="false">MAX(H71,CEILING(G71*$D$3,H71))</f>
        <v>2</v>
      </c>
      <c r="J71" s="8" t="n">
        <v>17.4239</v>
      </c>
      <c r="K71" s="8" t="n">
        <f aca="false">IF(J71="","",J71*I71)</f>
        <v>34.8478</v>
      </c>
      <c r="L71" s="6" t="n">
        <v>7928</v>
      </c>
      <c r="M71" s="9" t="s">
        <v>23</v>
      </c>
      <c r="N71" s="7"/>
    </row>
    <row r="72" customFormat="false" ht="15" hidden="false" customHeight="false" outlineLevel="0" collapsed="false">
      <c r="A72" s="6" t="n">
        <v>67</v>
      </c>
      <c r="B72" s="6" t="s">
        <v>18</v>
      </c>
      <c r="C72" s="6" t="s">
        <v>119</v>
      </c>
      <c r="D72" s="6" t="s">
        <v>252</v>
      </c>
      <c r="E72" s="7" t="s">
        <v>253</v>
      </c>
      <c r="F72" s="7" t="s">
        <v>254</v>
      </c>
      <c r="G72" s="6" t="n">
        <v>1</v>
      </c>
      <c r="H72" s="6" t="n">
        <v>1</v>
      </c>
      <c r="I72" s="6" t="n">
        <f aca="false">MAX(H72,CEILING(G72*$D$3,H72))</f>
        <v>2</v>
      </c>
      <c r="J72" s="8" t="n">
        <v>8.71194</v>
      </c>
      <c r="K72" s="8" t="n">
        <f aca="false">IF(J72="","",J72*I72)</f>
        <v>17.42388</v>
      </c>
      <c r="L72" s="6" t="n">
        <v>3061</v>
      </c>
      <c r="M72" s="9" t="s">
        <v>23</v>
      </c>
      <c r="N72" s="7"/>
    </row>
    <row r="73" customFormat="false" ht="15" hidden="false" customHeight="false" outlineLevel="0" collapsed="false">
      <c r="A73" s="6" t="n">
        <v>68</v>
      </c>
      <c r="B73" s="6" t="s">
        <v>18</v>
      </c>
      <c r="C73" s="6" t="s">
        <v>119</v>
      </c>
      <c r="D73" s="6" t="s">
        <v>255</v>
      </c>
      <c r="E73" s="7" t="s">
        <v>256</v>
      </c>
      <c r="F73" s="7" t="s">
        <v>257</v>
      </c>
      <c r="G73" s="6" t="n">
        <v>1</v>
      </c>
      <c r="H73" s="6" t="n">
        <v>1</v>
      </c>
      <c r="I73" s="6" t="n">
        <f aca="false">MAX(H73,CEILING(G73*$D$3,H73))</f>
        <v>2</v>
      </c>
      <c r="J73" s="8" t="n">
        <v>16.0483</v>
      </c>
      <c r="K73" s="8" t="n">
        <f aca="false">IF(J73="","",J73*I73)</f>
        <v>32.0966</v>
      </c>
      <c r="L73" s="6" t="n">
        <v>44</v>
      </c>
      <c r="M73" s="9" t="s">
        <v>23</v>
      </c>
      <c r="N73" s="7"/>
    </row>
    <row r="74" customFormat="false" ht="15" hidden="false" customHeight="false" outlineLevel="0" collapsed="false">
      <c r="A74" s="6" t="n">
        <v>69</v>
      </c>
      <c r="B74" s="6" t="s">
        <v>18</v>
      </c>
      <c r="C74" s="6" t="s">
        <v>137</v>
      </c>
      <c r="D74" s="6" t="s">
        <v>258</v>
      </c>
      <c r="E74" s="7" t="s">
        <v>259</v>
      </c>
      <c r="F74" s="7" t="s">
        <v>260</v>
      </c>
      <c r="G74" s="6" t="n">
        <v>2</v>
      </c>
      <c r="H74" s="6" t="n">
        <v>10</v>
      </c>
      <c r="I74" s="6" t="n">
        <f aca="false">MAX(H74,CEILING(G74*$D$3,H74))</f>
        <v>10</v>
      </c>
      <c r="J74" s="8" t="n">
        <v>0.34437</v>
      </c>
      <c r="K74" s="8" t="n">
        <f aca="false">IF(J74="","",J74*I74)</f>
        <v>3.4437</v>
      </c>
      <c r="L74" s="6" t="n">
        <v>18349</v>
      </c>
      <c r="M74" s="9" t="s">
        <v>23</v>
      </c>
      <c r="N74" s="7"/>
    </row>
    <row r="75" customFormat="false" ht="23.85" hidden="false" customHeight="false" outlineLevel="0" collapsed="false">
      <c r="A75" s="6" t="n">
        <v>70</v>
      </c>
      <c r="B75" s="6" t="s">
        <v>261</v>
      </c>
      <c r="C75" s="6" t="s">
        <v>112</v>
      </c>
      <c r="D75" s="6" t="s">
        <v>262</v>
      </c>
      <c r="E75" s="7" t="s">
        <v>263</v>
      </c>
      <c r="F75" s="7" t="s">
        <v>264</v>
      </c>
      <c r="G75" s="6" t="n">
        <v>1</v>
      </c>
      <c r="H75" s="6" t="n">
        <v>1</v>
      </c>
      <c r="I75" s="6" t="n">
        <f aca="false">MAX(H75,CEILING(G75*$D$3,H75))</f>
        <v>2</v>
      </c>
      <c r="J75" s="8" t="n">
        <v>421.52</v>
      </c>
      <c r="K75" s="8" t="n">
        <f aca="false">IF(J75="","",J75*I75)</f>
        <v>843.04</v>
      </c>
      <c r="L75" s="6"/>
      <c r="M75" s="9" t="s">
        <v>23</v>
      </c>
      <c r="N75" s="7" t="s">
        <v>265</v>
      </c>
    </row>
    <row r="76" customFormat="false" ht="15" hidden="false" customHeight="false" outlineLevel="0" collapsed="false">
      <c r="A76" s="10" t="n">
        <v>71</v>
      </c>
      <c r="B76" s="10" t="s">
        <v>261</v>
      </c>
      <c r="C76" s="10" t="s">
        <v>112</v>
      </c>
      <c r="D76" s="10" t="s">
        <v>266</v>
      </c>
      <c r="E76" s="11" t="s">
        <v>267</v>
      </c>
      <c r="F76" s="11" t="s">
        <v>268</v>
      </c>
      <c r="G76" s="10" t="n">
        <v>1</v>
      </c>
      <c r="H76" s="10" t="n">
        <v>1</v>
      </c>
      <c r="I76" s="10" t="n">
        <f aca="false">MAX(H76,CEILING(G76*$D$3,H76))</f>
        <v>2</v>
      </c>
      <c r="J76" s="12"/>
      <c r="K76" s="12" t="str">
        <f aca="false">IF(J76="","",J76*I76)</f>
        <v/>
      </c>
      <c r="L76" s="10"/>
      <c r="M76" s="13" t="s">
        <v>23</v>
      </c>
      <c r="N76" s="11" t="s">
        <v>269</v>
      </c>
    </row>
    <row r="77" customFormat="false" ht="15" hidden="false" customHeight="false" outlineLevel="0" collapsed="false">
      <c r="A77" s="14"/>
      <c r="B77" s="14"/>
      <c r="C77" s="14"/>
      <c r="D77" s="14"/>
      <c r="E77" s="15"/>
      <c r="F77" s="15"/>
      <c r="G77" s="14"/>
      <c r="H77" s="14"/>
      <c r="I77" s="14"/>
      <c r="J77" s="16"/>
      <c r="K77" s="16"/>
      <c r="L77" s="14"/>
      <c r="M77" s="14"/>
      <c r="N77" s="15"/>
    </row>
    <row r="78" customFormat="false" ht="15" hidden="false" customHeight="false" outlineLevel="0" collapsed="false">
      <c r="A78" s="14"/>
      <c r="B78" s="14"/>
      <c r="C78" s="14"/>
      <c r="D78" s="14"/>
      <c r="E78" s="15"/>
      <c r="F78" s="15"/>
      <c r="G78" s="14"/>
      <c r="H78" s="14"/>
      <c r="I78" s="14"/>
      <c r="J78" s="17" t="s">
        <v>270</v>
      </c>
      <c r="K78" s="17" t="n">
        <f aca="false">SUM(K6:K76)</f>
        <v>4241.01397</v>
      </c>
      <c r="L78" s="14"/>
      <c r="M78" s="14"/>
      <c r="N78" s="15"/>
    </row>
    <row r="79" customFormat="false" ht="15" hidden="false" customHeight="false" outlineLevel="0" collapsed="false">
      <c r="A79" s="14"/>
      <c r="B79" s="14"/>
      <c r="C79" s="14"/>
      <c r="D79" s="14"/>
      <c r="E79" s="15"/>
      <c r="F79" s="15"/>
      <c r="G79" s="14"/>
      <c r="H79" s="14"/>
      <c r="I79" s="14"/>
      <c r="J79" s="16" t="s">
        <v>271</v>
      </c>
      <c r="K79" s="16" t="n">
        <f aca="false">SUMIF(B6:B76,"Özdisan",K6:K76)</f>
        <v>3397.97397</v>
      </c>
      <c r="L79" s="14"/>
      <c r="M79" s="14"/>
      <c r="N79" s="15"/>
    </row>
    <row r="80" customFormat="false" ht="15" hidden="false" customHeight="false" outlineLevel="0" collapsed="false">
      <c r="A80" s="14"/>
      <c r="B80" s="14"/>
      <c r="C80" s="14"/>
      <c r="D80" s="14"/>
      <c r="E80" s="15"/>
      <c r="F80" s="15"/>
      <c r="G80" s="14"/>
      <c r="H80" s="14"/>
      <c r="I80" s="14"/>
      <c r="J80" s="16" t="s">
        <v>272</v>
      </c>
      <c r="K80" s="16" t="n">
        <f aca="false">SUMIF(B6:B76,"Ekom",K6:K76)</f>
        <v>843.04</v>
      </c>
      <c r="L80" s="14"/>
      <c r="M80" s="14"/>
      <c r="N80" s="15"/>
    </row>
    <row r="81" customFormat="false" ht="15" hidden="false" customHeight="false" outlineLevel="0" collapsed="false">
      <c r="A81" s="18" t="s">
        <v>273</v>
      </c>
      <c r="B81" s="14"/>
      <c r="C81" s="14"/>
      <c r="D81" s="14"/>
      <c r="E81" s="15"/>
      <c r="F81" s="15"/>
      <c r="G81" s="14"/>
      <c r="H81" s="14"/>
      <c r="I81" s="14"/>
      <c r="J81" s="14"/>
      <c r="K81" s="14"/>
      <c r="L81" s="14"/>
      <c r="M81" s="14"/>
      <c r="N81" s="15"/>
    </row>
  </sheetData>
  <autoFilter ref="A5:N76"/>
  <hyperlinks>
    <hyperlink ref="M6" r:id="rId1" display="open"/>
    <hyperlink ref="M7" r:id="rId2" display="open"/>
    <hyperlink ref="M8" r:id="rId3" display="open"/>
    <hyperlink ref="M9" r:id="rId4" display="open"/>
    <hyperlink ref="M10" r:id="rId5" display="open"/>
    <hyperlink ref="M11" r:id="rId6" display="open"/>
    <hyperlink ref="M12" r:id="rId7" display="open"/>
    <hyperlink ref="M13" r:id="rId8" display="open"/>
    <hyperlink ref="M14" r:id="rId9" display="open"/>
    <hyperlink ref="M15" r:id="rId10" display="open"/>
    <hyperlink ref="M16" r:id="rId11" display="open"/>
    <hyperlink ref="M17" r:id="rId12" display="open"/>
    <hyperlink ref="M18" r:id="rId13" display="open"/>
    <hyperlink ref="M19" r:id="rId14" display="open"/>
    <hyperlink ref="M20" r:id="rId15" display="open"/>
    <hyperlink ref="M21" r:id="rId16" display="open"/>
    <hyperlink ref="M22" r:id="rId17" display="open"/>
    <hyperlink ref="M23" r:id="rId18" display="open"/>
    <hyperlink ref="M24" r:id="rId19" display="open"/>
    <hyperlink ref="M25" r:id="rId20" display="open"/>
    <hyperlink ref="M26" r:id="rId21" display="open"/>
    <hyperlink ref="M27" r:id="rId22" display="open"/>
    <hyperlink ref="M28" r:id="rId23" display="open"/>
    <hyperlink ref="M29" r:id="rId24" display="open"/>
    <hyperlink ref="M30" r:id="rId25" display="open"/>
    <hyperlink ref="M31" r:id="rId26" display="open"/>
    <hyperlink ref="M32" r:id="rId27" display="open"/>
    <hyperlink ref="M33" r:id="rId28" display="open"/>
    <hyperlink ref="M34" r:id="rId29" display="open"/>
    <hyperlink ref="M35" r:id="rId30" display="open"/>
    <hyperlink ref="M36" r:id="rId31" display="open"/>
    <hyperlink ref="M37" r:id="rId32" display="open"/>
    <hyperlink ref="M38" r:id="rId33" display="open"/>
    <hyperlink ref="M39" r:id="rId34" display="open"/>
    <hyperlink ref="M40" r:id="rId35" display="open"/>
    <hyperlink ref="M41" r:id="rId36" display="open"/>
    <hyperlink ref="M42" r:id="rId37" display="open"/>
    <hyperlink ref="M43" r:id="rId38" display="open"/>
    <hyperlink ref="M44" r:id="rId39" display="open"/>
    <hyperlink ref="M45" r:id="rId40" display="open"/>
    <hyperlink ref="M46" r:id="rId41" display="open"/>
    <hyperlink ref="M47" r:id="rId42" display="open"/>
    <hyperlink ref="M48" r:id="rId43" display="open"/>
    <hyperlink ref="M49" r:id="rId44" display="open"/>
    <hyperlink ref="M50" r:id="rId45" display="open"/>
    <hyperlink ref="M51" r:id="rId46" display="open"/>
    <hyperlink ref="M52" r:id="rId47" display="open"/>
    <hyperlink ref="M53" r:id="rId48" display="open"/>
    <hyperlink ref="M54" r:id="rId49" display="open"/>
    <hyperlink ref="M55" r:id="rId50" display="open"/>
    <hyperlink ref="M56" r:id="rId51" display="open"/>
    <hyperlink ref="M57" r:id="rId52" display="open"/>
    <hyperlink ref="M58" r:id="rId53" display="open"/>
    <hyperlink ref="M59" r:id="rId54" display="open"/>
    <hyperlink ref="M60" r:id="rId55" display="open"/>
    <hyperlink ref="M61" r:id="rId56" display="open"/>
    <hyperlink ref="M62" r:id="rId57" display="open"/>
    <hyperlink ref="M63" r:id="rId58" display="open"/>
    <hyperlink ref="M64" r:id="rId59" display="open"/>
    <hyperlink ref="M65" r:id="rId60" display="open"/>
    <hyperlink ref="M66" r:id="rId61" display="open"/>
    <hyperlink ref="M67" r:id="rId62" display="open"/>
    <hyperlink ref="M68" r:id="rId63" display="open"/>
    <hyperlink ref="M69" r:id="rId64" display="open"/>
    <hyperlink ref="M70" r:id="rId65" display="open"/>
    <hyperlink ref="M71" r:id="rId66" display="open"/>
    <hyperlink ref="M72" r:id="rId67" display="open"/>
    <hyperlink ref="M73" r:id="rId68" display="open"/>
    <hyperlink ref="M74" r:id="rId69" display="open"/>
    <hyperlink ref="M75" r:id="rId70" display="open"/>
    <hyperlink ref="M76" r:id="rId71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7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9" t="s">
        <v>274</v>
      </c>
      <c r="B1" s="19" t="s">
        <v>275</v>
      </c>
      <c r="C1" s="19" t="s">
        <v>276</v>
      </c>
      <c r="D1" s="19" t="s">
        <v>277</v>
      </c>
    </row>
    <row r="2" customFormat="false" ht="15" hidden="false" customHeight="false" outlineLevel="0" collapsed="false">
      <c r="A2" s="20" t="s">
        <v>278</v>
      </c>
      <c r="B2" s="20" t="s">
        <v>279</v>
      </c>
      <c r="C2" s="20" t="s">
        <v>280</v>
      </c>
      <c r="D2" s="20" t="s">
        <v>281</v>
      </c>
    </row>
    <row r="3" customFormat="false" ht="15" hidden="false" customHeight="false" outlineLevel="0" collapsed="false">
      <c r="A3" s="20" t="s">
        <v>282</v>
      </c>
      <c r="B3" s="20" t="s">
        <v>283</v>
      </c>
      <c r="C3" s="20" t="s">
        <v>284</v>
      </c>
      <c r="D3" s="20" t="s">
        <v>281</v>
      </c>
    </row>
    <row r="4" customFormat="false" ht="15" hidden="false" customHeight="false" outlineLevel="0" collapsed="false">
      <c r="A4" s="20" t="s">
        <v>285</v>
      </c>
      <c r="B4" s="20" t="s">
        <v>286</v>
      </c>
      <c r="C4" s="20" t="s">
        <v>286</v>
      </c>
      <c r="D4" s="20" t="s">
        <v>287</v>
      </c>
    </row>
    <row r="5" customFormat="false" ht="15" hidden="false" customHeight="false" outlineLevel="0" collapsed="false">
      <c r="A5" s="20" t="s">
        <v>288</v>
      </c>
      <c r="B5" s="20" t="s">
        <v>289</v>
      </c>
      <c r="C5" s="20" t="s">
        <v>290</v>
      </c>
      <c r="D5" s="20" t="s">
        <v>291</v>
      </c>
    </row>
    <row r="6" customFormat="false" ht="15" hidden="false" customHeight="false" outlineLevel="0" collapsed="false">
      <c r="A6" s="20" t="s">
        <v>292</v>
      </c>
      <c r="B6" s="20" t="s">
        <v>289</v>
      </c>
      <c r="C6" s="20" t="s">
        <v>290</v>
      </c>
      <c r="D6" s="20" t="s">
        <v>293</v>
      </c>
    </row>
    <row r="7" customFormat="false" ht="15" hidden="false" customHeight="false" outlineLevel="0" collapsed="false">
      <c r="A7" s="20" t="s">
        <v>294</v>
      </c>
      <c r="B7" s="20" t="s">
        <v>295</v>
      </c>
      <c r="C7" s="20" t="s">
        <v>295</v>
      </c>
      <c r="D7" s="20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2026-10-21T17:44:56Z</dcterms:created>
  <dc:creator>openpyxl</dc:creator>
  <dc:description/>
  <dc:language>en-US</dc:language>
  <cp:lastModifiedBy/>
  <dcterms:modified xsi:type="dcterms:W3CDTF">2026-10-21T17:44:56Z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