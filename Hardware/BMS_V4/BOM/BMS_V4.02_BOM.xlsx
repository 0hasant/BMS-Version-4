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lectronics_Solaris\BMS Version 4\Hardware\BMS_V4\BOM\"/>
    </mc:Choice>
  </mc:AlternateContent>
  <xr:revisionPtr revIDLastSave="0" documentId="13_ncr:1_{35EC593D-C958-41AF-B9E1-AF4F669AFC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 v4.02" sheetId="1" r:id="rId1"/>
  </sheets>
  <definedNames>
    <definedName name="_xlnm._FilterDatabase" localSheetId="0" hidden="1">'BOM v4.02'!$A$5:$O$77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7" i="1" l="1"/>
  <c r="N87" i="1" s="1"/>
  <c r="N86" i="1"/>
  <c r="M86" i="1"/>
  <c r="M85" i="1"/>
  <c r="N85" i="1" s="1"/>
  <c r="N84" i="1"/>
  <c r="M84" i="1"/>
  <c r="N83" i="1"/>
  <c r="M83" i="1"/>
  <c r="N82" i="1"/>
  <c r="N88" i="1" s="1"/>
  <c r="M82" i="1"/>
  <c r="N77" i="1"/>
  <c r="N76" i="1"/>
  <c r="M76" i="1"/>
  <c r="N75" i="1"/>
  <c r="M75" i="1"/>
  <c r="M74" i="1"/>
  <c r="N74" i="1" s="1"/>
  <c r="M73" i="1"/>
  <c r="N73" i="1" s="1"/>
  <c r="N72" i="1"/>
  <c r="M72" i="1"/>
  <c r="M71" i="1"/>
  <c r="N71" i="1" s="1"/>
  <c r="N70" i="1"/>
  <c r="M70" i="1"/>
  <c r="M69" i="1"/>
  <c r="N69" i="1" s="1"/>
  <c r="M68" i="1"/>
  <c r="N68" i="1" s="1"/>
  <c r="M67" i="1"/>
  <c r="N67" i="1" s="1"/>
  <c r="N66" i="1"/>
  <c r="M66" i="1"/>
  <c r="M65" i="1"/>
  <c r="N65" i="1" s="1"/>
  <c r="N64" i="1"/>
  <c r="M64" i="1"/>
  <c r="M63" i="1"/>
  <c r="N63" i="1" s="1"/>
  <c r="M62" i="1"/>
  <c r="N62" i="1" s="1"/>
  <c r="M61" i="1"/>
  <c r="N61" i="1" s="1"/>
  <c r="N60" i="1"/>
  <c r="M60" i="1"/>
  <c r="M59" i="1"/>
  <c r="N59" i="1" s="1"/>
  <c r="N58" i="1"/>
  <c r="M58" i="1"/>
  <c r="M57" i="1"/>
  <c r="N57" i="1" s="1"/>
  <c r="M56" i="1"/>
  <c r="N56" i="1" s="1"/>
  <c r="M55" i="1"/>
  <c r="N55" i="1" s="1"/>
  <c r="N54" i="1"/>
  <c r="M54" i="1"/>
  <c r="M53" i="1"/>
  <c r="N53" i="1" s="1"/>
  <c r="N52" i="1"/>
  <c r="M52" i="1"/>
  <c r="M51" i="1"/>
  <c r="N51" i="1" s="1"/>
  <c r="M50" i="1"/>
  <c r="N50" i="1" s="1"/>
  <c r="M49" i="1"/>
  <c r="N49" i="1" s="1"/>
  <c r="N48" i="1"/>
  <c r="M48" i="1"/>
  <c r="M47" i="1"/>
  <c r="N47" i="1" s="1"/>
  <c r="N46" i="1"/>
  <c r="M46" i="1"/>
  <c r="M45" i="1"/>
  <c r="N45" i="1" s="1"/>
  <c r="M44" i="1"/>
  <c r="N44" i="1" s="1"/>
  <c r="M43" i="1"/>
  <c r="N43" i="1" s="1"/>
  <c r="N42" i="1"/>
  <c r="M42" i="1"/>
  <c r="M41" i="1"/>
  <c r="N41" i="1" s="1"/>
  <c r="N40" i="1"/>
  <c r="M40" i="1"/>
  <c r="M39" i="1"/>
  <c r="N39" i="1" s="1"/>
  <c r="M38" i="1"/>
  <c r="N38" i="1" s="1"/>
  <c r="M37" i="1"/>
  <c r="N37" i="1" s="1"/>
  <c r="N36" i="1"/>
  <c r="M36" i="1"/>
  <c r="M35" i="1"/>
  <c r="N35" i="1" s="1"/>
  <c r="N34" i="1"/>
  <c r="M34" i="1"/>
  <c r="M33" i="1"/>
  <c r="N33" i="1" s="1"/>
  <c r="M32" i="1"/>
  <c r="N32" i="1" s="1"/>
  <c r="M31" i="1"/>
  <c r="N31" i="1" s="1"/>
  <c r="N30" i="1"/>
  <c r="M30" i="1"/>
  <c r="M29" i="1"/>
  <c r="N29" i="1" s="1"/>
  <c r="N28" i="1"/>
  <c r="M28" i="1"/>
  <c r="M27" i="1"/>
  <c r="N27" i="1" s="1"/>
  <c r="M26" i="1"/>
  <c r="N26" i="1" s="1"/>
  <c r="M25" i="1"/>
  <c r="N25" i="1" s="1"/>
  <c r="N24" i="1"/>
  <c r="M24" i="1"/>
  <c r="M23" i="1"/>
  <c r="N23" i="1" s="1"/>
  <c r="N22" i="1"/>
  <c r="M22" i="1"/>
  <c r="M21" i="1"/>
  <c r="N21" i="1" s="1"/>
  <c r="M20" i="1"/>
  <c r="N20" i="1" s="1"/>
  <c r="M19" i="1"/>
  <c r="N19" i="1" s="1"/>
  <c r="N18" i="1"/>
  <c r="M18" i="1"/>
  <c r="N17" i="1"/>
  <c r="M17" i="1"/>
  <c r="N16" i="1"/>
  <c r="M16" i="1"/>
  <c r="M15" i="1"/>
  <c r="N15" i="1" s="1"/>
  <c r="M14" i="1"/>
  <c r="N14" i="1" s="1"/>
  <c r="M13" i="1"/>
  <c r="N13" i="1" s="1"/>
  <c r="N12" i="1"/>
  <c r="M12" i="1"/>
  <c r="M11" i="1"/>
  <c r="N11" i="1" s="1"/>
  <c r="N10" i="1"/>
  <c r="M10" i="1"/>
  <c r="M9" i="1"/>
  <c r="N9" i="1" s="1"/>
  <c r="M8" i="1"/>
  <c r="N8" i="1" s="1"/>
  <c r="M7" i="1"/>
  <c r="N7" i="1" s="1"/>
  <c r="N6" i="1"/>
  <c r="N78" i="1" s="1"/>
  <c r="M6" i="1"/>
</calcChain>
</file>

<file path=xl/sharedStrings.xml><?xml version="1.0" encoding="utf-8"?>
<sst xmlns="http://schemas.openxmlformats.org/spreadsheetml/2006/main" count="639" uniqueCount="451">
  <si>
    <t>BMS v4.02 - Bill of Materials</t>
  </si>
  <si>
    <t>Generated from the KiCad schematic on 2026-10-13. Prices and stock from ozdisan.com on that date, tax included, unit price at the minimum order quantity. Edit the blue cell to change the number of boards.</t>
  </si>
  <si>
    <t>Boards to build</t>
  </si>
  <si>
    <t>#</t>
  </si>
  <si>
    <t>References</t>
  </si>
  <si>
    <t>Qty / board</t>
  </si>
  <si>
    <t>Value</t>
  </si>
  <si>
    <t>Description</t>
  </si>
  <si>
    <t>Footprint</t>
  </si>
  <si>
    <t>Manufacturer</t>
  </si>
  <si>
    <t>MPN</t>
  </si>
  <si>
    <t>Özdisan link</t>
  </si>
  <si>
    <t>Özdisan stock (2026-10-13)</t>
  </si>
  <si>
    <t>Unit price TRY (at MOQ)</t>
  </si>
  <si>
    <t>MOQ</t>
  </si>
  <si>
    <t>Qty to buy (2 boards)</t>
  </si>
  <si>
    <t>Line cost TRY</t>
  </si>
  <si>
    <t>Notes</t>
  </si>
  <si>
    <t>C1</t>
  </si>
  <si>
    <t>1uF 100V</t>
  </si>
  <si>
    <t>MLCC 1206 1uF 100V X7R</t>
  </si>
  <si>
    <t>C_1206_3216Metric_Pad1.33x1.80mm_HandSolder</t>
  </si>
  <si>
    <t>Samsung</t>
  </si>
  <si>
    <t>CL31B105KCHNNNE</t>
  </si>
  <si>
    <t>Özdisan</t>
  </si>
  <si>
    <t>BAT pin. Not stocked: the 0805 CL21Y105KCFVPJE (in stock) can be hand-soldered on these 1206 pads</t>
  </si>
  <si>
    <t>C2, C9, C12, C13, C14, C16, C18, C20, C23, C38</t>
  </si>
  <si>
    <t>100nF 50V</t>
  </si>
  <si>
    <t>MLCC 0805 100nF 50V X7R</t>
  </si>
  <si>
    <t>C_0805_2012Metric_Pad1.18x1.45mm_HandSolder</t>
  </si>
  <si>
    <t>CL21B104KBCNNNC</t>
  </si>
  <si>
    <t>SRP-SRN filter</t>
  </si>
  <si>
    <t>C3</t>
  </si>
  <si>
    <t>MLCC 0805 1uF 100V X7S</t>
  </si>
  <si>
    <t>CL21Y105KCFVPJE</t>
  </si>
  <si>
    <t>BAT pin. Was a 1206 part number (CL31B105KCHNNNE) on an 0805 footprint</t>
  </si>
  <si>
    <t>C4</t>
  </si>
  <si>
    <t>100pF 50V</t>
  </si>
  <si>
    <t>MLCC 0805 100pF 50V C0G</t>
  </si>
  <si>
    <t>CL21C101JBANNNC</t>
  </si>
  <si>
    <t>C5, C6, C7</t>
  </si>
  <si>
    <t>1nF 50V</t>
  </si>
  <si>
    <t>MLCC 0805 1nF 50V X7R</t>
  </si>
  <si>
    <t>Viking</t>
  </si>
  <si>
    <t>MCF05KTB500102</t>
  </si>
  <si>
    <t>Thermistor filter</t>
  </si>
  <si>
    <t>C8</t>
  </si>
  <si>
    <t>2.2uF 25V</t>
  </si>
  <si>
    <t>MLCC 0805 2.2uF 25V X7R</t>
  </si>
  <si>
    <t>CL21B225KAFNNNE</t>
  </si>
  <si>
    <t>REG18</t>
  </si>
  <si>
    <t>C10</t>
  </si>
  <si>
    <t>470nF 50V</t>
  </si>
  <si>
    <t>MLCC 0805 470nF 50V X7R</t>
  </si>
  <si>
    <t>CL21B474KBFNNNE</t>
  </si>
  <si>
    <t>C11, C22</t>
  </si>
  <si>
    <t>10uF 25V</t>
  </si>
  <si>
    <t>MLCC 0805 10uF 25V X7S</t>
  </si>
  <si>
    <t>Murata</t>
  </si>
  <si>
    <t>GRT21BC71E106KE13L</t>
  </si>
  <si>
    <t>Samsung CL21A106KAYNNNE is cheaper but not stocked</t>
  </si>
  <si>
    <t>C15, C30</t>
  </si>
  <si>
    <t>10nF 50V</t>
  </si>
  <si>
    <t>MLCC 0805 10nF 50V X7R</t>
  </si>
  <si>
    <t>CL21B103KBANNNC</t>
  </si>
  <si>
    <t>C17, C19</t>
  </si>
  <si>
    <t>22pF 50V</t>
  </si>
  <si>
    <t>MLCC 0805 22pF 50V C0G</t>
  </si>
  <si>
    <t>CAPC2012X94N</t>
  </si>
  <si>
    <t>CL21C220JBANNNC</t>
  </si>
  <si>
    <t>Crystal load</t>
  </si>
  <si>
    <t>C21</t>
  </si>
  <si>
    <t>4.7uF 25V</t>
  </si>
  <si>
    <t>MLCC 0805 4.7uF 25V X5R</t>
  </si>
  <si>
    <t>CL21A475KAQNNNE</t>
  </si>
  <si>
    <t>C24, C25</t>
  </si>
  <si>
    <t>30pF 50V</t>
  </si>
  <si>
    <t>MLCC 0805 30pF 50V C0G</t>
  </si>
  <si>
    <t>CL21C300JBANNNC</t>
  </si>
  <si>
    <t>CAN_H/CAN_L filter. Not stocked (33pF neither); 47pF CL21C470JBANNNC is in stock if you accept the change</t>
  </si>
  <si>
    <t>C26</t>
  </si>
  <si>
    <t>3.3nF 2kV</t>
  </si>
  <si>
    <t>Ceramic disc 3.3nF 2kV, 5 mm pitch</t>
  </si>
  <si>
    <t>C_Disc_D10.5mm_W5.0mm_P5.00mm</t>
  </si>
  <si>
    <t>Cinetech</t>
  </si>
  <si>
    <t>KB3D332KL518Y</t>
  </si>
  <si>
    <t>CAN shield to ISO_GND. Not stocked: any 3.3nF &gt;= 1kV disc, 5 mm pitch</t>
  </si>
  <si>
    <t>C27</t>
  </si>
  <si>
    <t>10pF 50V</t>
  </si>
  <si>
    <t>MLCC 0805 10pF 50V C0G</t>
  </si>
  <si>
    <t>Yageo</t>
  </si>
  <si>
    <t>CC0805JRNPO9BN100</t>
  </si>
  <si>
    <t>CAN split termination: 4.7nF recommended (see README)</t>
  </si>
  <si>
    <t>C28, C31</t>
  </si>
  <si>
    <t>1uF 50V</t>
  </si>
  <si>
    <t>MLCC 0805 1uF 50V X7R</t>
  </si>
  <si>
    <t>CL21B105KBFNNNE</t>
  </si>
  <si>
    <t>C29</t>
  </si>
  <si>
    <t>2.2uF 100V</t>
  </si>
  <si>
    <t>MLCC 1206 2.2uF 100V X7R</t>
  </si>
  <si>
    <t>CL31B225KCHSNNE</t>
  </si>
  <si>
    <t>LM5163 input. Not stocked (TDK/Murata/Yageo 1206 2.2uF 100V neither): request</t>
  </si>
  <si>
    <t>C32, C34</t>
  </si>
  <si>
    <t>2.2nF 50V</t>
  </si>
  <si>
    <t>MLCC 0805 2.2nF 50V X7R</t>
  </si>
  <si>
    <t>MCF05KTB500222</t>
  </si>
  <si>
    <t>LM5163 BST / ripple</t>
  </si>
  <si>
    <t>C33</t>
  </si>
  <si>
    <t>56pF 50V</t>
  </si>
  <si>
    <t>MLCC 0805 56pF 50V C0G</t>
  </si>
  <si>
    <t>MCF05JTN500560</t>
  </si>
  <si>
    <t>LM5163 ripple injection. Not stocked (Samsung/Yageo 56pF neither): request</t>
  </si>
  <si>
    <t>C35</t>
  </si>
  <si>
    <t>10uF 50V</t>
  </si>
  <si>
    <t>MLCC 1206 10uF 50V X5R</t>
  </si>
  <si>
    <t>TDK</t>
  </si>
  <si>
    <t>CGA5L3X5R1H106M160AB</t>
  </si>
  <si>
    <t>LM5163 output. Samsung CL31B106KBHNNNE not stocked</t>
  </si>
  <si>
    <t>C36, C37</t>
  </si>
  <si>
    <t>AQY212GS</t>
  </si>
  <si>
    <t>PhotoMOS relay 60V 1A, SOP4</t>
  </si>
  <si>
    <t>SOP254P680X230-4N</t>
  </si>
  <si>
    <t>Panasonic</t>
  </si>
  <si>
    <t>AQY212GSZ</t>
  </si>
  <si>
    <t>Contactor high/low side. Reference should be K1/K2</t>
  </si>
  <si>
    <t>C39, C40, C41, C42, C43, C44, C45, C46, C47, C48, C49, C50, C51, C52, C53, C54, C55</t>
  </si>
  <si>
    <t>220nF 50V</t>
  </si>
  <si>
    <t>MLCC 0805 220nF 50V X7R</t>
  </si>
  <si>
    <t>C_0805_2012Metric</t>
  </si>
  <si>
    <t>CL21B224KBFNNNE</t>
  </si>
  <si>
    <t>Cell filter. Was 200nF: not stocked, 220nF is the nearest standard value</t>
  </si>
  <si>
    <t>D1</t>
  </si>
  <si>
    <t>BAT46W</t>
  </si>
  <si>
    <t>Schottky 100V 150mA, SOD-123</t>
  </si>
  <si>
    <t>SOD3715X145N</t>
  </si>
  <si>
    <t>Diodes Inc.</t>
  </si>
  <si>
    <t>BAT46W-7-F</t>
  </si>
  <si>
    <t>BAT supply. Not stocked (Vishay BAT46W-E3-08 neither): request</t>
  </si>
  <si>
    <t>D2</t>
  </si>
  <si>
    <t>BAT54C</t>
  </si>
  <si>
    <t>Dual Schottky common cathode 30V 200mA, SOT-23</t>
  </si>
  <si>
    <t>SOT-23</t>
  </si>
  <si>
    <t>onsemi</t>
  </si>
  <si>
    <t>BAT54CLT1G</t>
  </si>
  <si>
    <t>5V OR-ing</t>
  </si>
  <si>
    <t>D3</t>
  </si>
  <si>
    <t>M7</t>
  </si>
  <si>
    <t>Rectifier 1000V 1A, SMA</t>
  </si>
  <si>
    <t>D_SMA_Handsoldering</t>
  </si>
  <si>
    <t>Hottech</t>
  </si>
  <si>
    <t>M7-HT</t>
  </si>
  <si>
    <t>Contactor coil flyback</t>
  </si>
  <si>
    <t>D4, D6, D8, D10, D12, D14, D16, D18, D20, D22, D24, D26, D28, D30, D32, D34</t>
  </si>
  <si>
    <t>BZX584C4V7</t>
  </si>
  <si>
    <t>Zener 4.7V 200mW, SOD-523</t>
  </si>
  <si>
    <t>D_SOD-523</t>
  </si>
  <si>
    <t>Panjit</t>
  </si>
  <si>
    <t>BZX584C4V7_R2_00001</t>
  </si>
  <si>
    <t>Balance FET gate clamp</t>
  </si>
  <si>
    <t>D5, D7, D9, D11, D13, D15, D17, D19, D21, D23, D25, D27, D29, D31, D33, D35</t>
  </si>
  <si>
    <t>LED red</t>
  </si>
  <si>
    <t>LED red 0805</t>
  </si>
  <si>
    <t>LED_0805_2012Metric_Pad1.15x1.40mm_HandSolder</t>
  </si>
  <si>
    <t>Honglitronic</t>
  </si>
  <si>
    <t>HL-PSC-2012S9AC</t>
  </si>
  <si>
    <t>Balancing indicator</t>
  </si>
  <si>
    <t>F1</t>
  </si>
  <si>
    <t>1A slow</t>
  </si>
  <si>
    <t>Fuse 1A 125V time-lag, 2410</t>
  </si>
  <si>
    <t>Fuse_2010_5025Metric_Pad1.52x2.65mm_HandSolder</t>
  </si>
  <si>
    <t>Reomax</t>
  </si>
  <si>
    <t>SET1100</t>
  </si>
  <si>
    <t>Was 250mA (blows when top cell balances). 2410 body on 2010 footprint</t>
  </si>
  <si>
    <t>IC1</t>
  </si>
  <si>
    <t>TPS73233</t>
  </si>
  <si>
    <t>LDO 3.3V 250mA, SOT-23-5</t>
  </si>
  <si>
    <t>SOT95P280X145-5N</t>
  </si>
  <si>
    <t>Texas Instruments</t>
  </si>
  <si>
    <t>TPS73233DBVR</t>
  </si>
  <si>
    <t>Reference should be U7</t>
  </si>
  <si>
    <t>IC2</t>
  </si>
  <si>
    <t>LM5163-Q1</t>
  </si>
  <si>
    <t>Buck 100V 0.5A, SO-8 PowerPAD</t>
  </si>
  <si>
    <t>SOIC127P600X170-9N</t>
  </si>
  <si>
    <t>LM5163HQDDARQ1</t>
  </si>
  <si>
    <t>Reference should be U8</t>
  </si>
  <si>
    <t>J1</t>
  </si>
  <si>
    <t>Cells 0-9</t>
  </si>
  <si>
    <t>Header 10P 3.5mm vertical, closed</t>
  </si>
  <si>
    <t>PhoenixContact_MCV_1,5_10-G-3.5_1x10_P3.50mm_Vertical</t>
  </si>
  <si>
    <t>Degson</t>
  </si>
  <si>
    <t>15EDGVC-3.5-10P-14-00AH</t>
  </si>
  <si>
    <t>Plug: 15EDGK-3.5-10P-14-00AH</t>
  </si>
  <si>
    <t>J2</t>
  </si>
  <si>
    <t>Cells 10-16+</t>
  </si>
  <si>
    <t>Header 7P 3.5mm vertical, closed</t>
  </si>
  <si>
    <t>PhoenixContact_MCV_1,5_7-G-3.5_1x07_P3.50mm_Vertical</t>
  </si>
  <si>
    <t>15EDGVC-3.5-07P-13-00AH</t>
  </si>
  <si>
    <t>Plug: 15EDGK-3.5-07P-13-00AH</t>
  </si>
  <si>
    <t>J3</t>
  </si>
  <si>
    <t>Contactor</t>
  </si>
  <si>
    <t>Header 4P 3.5mm vertical, closed</t>
  </si>
  <si>
    <t>Wago_734-134_1x04_P3.50mm_Vertical</t>
  </si>
  <si>
    <t>15EDGVC-3.5-04P-13-00AH</t>
  </si>
  <si>
    <t>Footprint is Wago 734-134: check fit. Plug: 15EDGK-3.5-04P-13-00AH</t>
  </si>
  <si>
    <t>J4</t>
  </si>
  <si>
    <t>Balance EN</t>
  </si>
  <si>
    <t>Header 2P 3.5mm vertical, closed</t>
  </si>
  <si>
    <t>Wago_734-132_1x02_P3.50mm_Vertical</t>
  </si>
  <si>
    <t>15EDGVC-3.5-02P-12-00AH</t>
  </si>
  <si>
    <t>Blue (black not stocked). Footprint is Wago 734-132: check fit</t>
  </si>
  <si>
    <t>J5</t>
  </si>
  <si>
    <t>CAN</t>
  </si>
  <si>
    <t>Header 4P 5.08mm vertical, closed</t>
  </si>
  <si>
    <t>PhoenixContact_MSTBVA_2,5_4-G-5,08_1x04_P5.08mm_Vertical</t>
  </si>
  <si>
    <t>2EDGVC-5.08-04P-14-00AH</t>
  </si>
  <si>
    <t>Footprint is Phoenix MSTBVA 2,5/4-G-5,08. Not stocked in any colour: request</t>
  </si>
  <si>
    <t>J6</t>
  </si>
  <si>
    <t>SWD</t>
  </si>
  <si>
    <t>Box header 2x5 2.54mm vertical</t>
  </si>
  <si>
    <t>IDC-Header_2x05_P2.54mm_Vertical</t>
  </si>
  <si>
    <t>Connfly</t>
  </si>
  <si>
    <t>DS1013-10SSIB1</t>
  </si>
  <si>
    <t>ST-Link V2 clone pinout. Not stocked: any 2x5 2.54mm box header</t>
  </si>
  <si>
    <t>J7, J8</t>
  </si>
  <si>
    <t>CAN_H term / CAN_L term</t>
  </si>
  <si>
    <t>Pin header 1x40 2.54mm vertical, cut to 3 pins</t>
  </si>
  <si>
    <t>HDRV3W51P0X254_1X3_762X254X470P</t>
  </si>
  <si>
    <t>KLS</t>
  </si>
  <si>
    <t>L-KLS1-207-1-40-S</t>
  </si>
  <si>
    <t>One 40-pin strip makes 13 x 3-pin headers (1x3 L-KLS1-207-1-03-S not stocked)</t>
  </si>
  <si>
    <t>J9, J10</t>
  </si>
  <si>
    <t>Batt- / Load-</t>
  </si>
  <si>
    <t>Barrier terminal 6 mm</t>
  </si>
  <si>
    <t>K5100AH</t>
  </si>
  <si>
    <t>K51-00AH</t>
  </si>
  <si>
    <t>Battery side of the shunt; Load / charger side of the shunt</t>
  </si>
  <si>
    <t>J12, J13</t>
  </si>
  <si>
    <t>NTC 1-8 / NTC 9-16</t>
  </si>
  <si>
    <t>Header 2x8 2.00mm</t>
  </si>
  <si>
    <t>PinSocket_2x08_P2.00mm_Vertical</t>
  </si>
  <si>
    <t>L-KLS1-XL4-2.00-2X08-S</t>
  </si>
  <si>
    <t>Cell thermistors</t>
  </si>
  <si>
    <t>L1</t>
  </si>
  <si>
    <t>220uH</t>
  </si>
  <si>
    <t>Power inductor 220uH 10.4x10.4 mm</t>
  </si>
  <si>
    <t>L_10.4x10.4_H4.8</t>
  </si>
  <si>
    <t>Core Master</t>
  </si>
  <si>
    <t>SDI104R-221M</t>
  </si>
  <si>
    <t>LED1</t>
  </si>
  <si>
    <t>LEDC2012X110N</t>
  </si>
  <si>
    <t>Kingbright</t>
  </si>
  <si>
    <t>KP-2012SRC-PRV</t>
  </si>
  <si>
    <t>MCU status LED. Reference should be D36</t>
  </si>
  <si>
    <t>PS1</t>
  </si>
  <si>
    <t>1S4E_0505S1U</t>
  </si>
  <si>
    <t>Isolated DC/DC 5V to 5V 1W, SIP4</t>
  </si>
  <si>
    <t>1S4E_0303S1U</t>
  </si>
  <si>
    <t>-</t>
  </si>
  <si>
    <t>Was 1S4E_1505S1U (15 V input). Not at Özdisan: RECOM RFM-0505S is a SIP4 alternative, check pinout</t>
  </si>
  <si>
    <t>Q1, Q2, Q3, Q4, Q5, Q6, Q7, Q8, Q9, Q10, Q11, Q12, Q13, Q14, Q15, Q16</t>
  </si>
  <si>
    <t>SI1050X</t>
  </si>
  <si>
    <t>N-MOSFET 8V 1.34A, SC-89-6</t>
  </si>
  <si>
    <t>SOTFL50P160X60-6N</t>
  </si>
  <si>
    <t>Vishay</t>
  </si>
  <si>
    <t>SI1050X-T1-GE3</t>
  </si>
  <si>
    <t>Balance switch. PCB value said RQ6E080AJ (stale)</t>
  </si>
  <si>
    <t>R3, R4, R9, R10, R13, R30, R31, R32</t>
  </si>
  <si>
    <t>10k</t>
  </si>
  <si>
    <t>Resistor 0805 10k 5%</t>
  </si>
  <si>
    <t>R_0805_2012Metric_Pad1.20x1.40mm_HandSolder</t>
  </si>
  <si>
    <t>Royalohm</t>
  </si>
  <si>
    <t>0805S8J0103T5E</t>
  </si>
  <si>
    <t>Pull-ups / pull-downs: 5% is fine (no 1% 10k stocked)</t>
  </si>
  <si>
    <t>R5, R7, R8, R11, R16, R17, R34</t>
  </si>
  <si>
    <t>100R</t>
  </si>
  <si>
    <t>Resistor 0805 100R 1%</t>
  </si>
  <si>
    <t>0805S8F1000T5E</t>
  </si>
  <si>
    <t>R6</t>
  </si>
  <si>
    <t>2mR 6W</t>
  </si>
  <si>
    <t>Shunt 2 mOhm 1% 6W, 3920</t>
  </si>
  <si>
    <t>RESC10052X125N</t>
  </si>
  <si>
    <t>Isabellenhütte</t>
  </si>
  <si>
    <t>BVS-A-R002-1.0</t>
  </si>
  <si>
    <t>Current sense</t>
  </si>
  <si>
    <t>R12, R15, R27</t>
  </si>
  <si>
    <t>4.7k</t>
  </si>
  <si>
    <t>Resistor 0805 4.7k 1%</t>
  </si>
  <si>
    <t>CRT05F7E4701</t>
  </si>
  <si>
    <t>R14, R36, R39, R46, R50, R54, R58, R62, R66, R70, R74, R78, R82, R86, R90, R94, R98</t>
  </si>
  <si>
    <t>1k</t>
  </si>
  <si>
    <t>Resistor 0805 1k 1%</t>
  </si>
  <si>
    <t>RESC2012X70N</t>
  </si>
  <si>
    <t>0805S8F1001T5E</t>
  </si>
  <si>
    <t>Balance FET gate. Viking CRT05F7E1001 only 29 in stock</t>
  </si>
  <si>
    <t>R18</t>
  </si>
  <si>
    <t>200R</t>
  </si>
  <si>
    <t>Resistor 0805 200R 1%</t>
  </si>
  <si>
    <t>0805S8F2000T5E</t>
  </si>
  <si>
    <t>PS1 minimum load. Footprint is an LED 0805 footprint (fits)</t>
  </si>
  <si>
    <t>R19</t>
  </si>
  <si>
    <t>330R</t>
  </si>
  <si>
    <t>Resistor 0805 330R 1%</t>
  </si>
  <si>
    <t>0805S8F3300T5E</t>
  </si>
  <si>
    <t>PS1 minimum load</t>
  </si>
  <si>
    <t>R20</t>
  </si>
  <si>
    <t>1M</t>
  </si>
  <si>
    <t>Resistor 0805 1M 1%</t>
  </si>
  <si>
    <t>0805S8F1004T5E</t>
  </si>
  <si>
    <t>R21, R22</t>
  </si>
  <si>
    <t>60.4R</t>
  </si>
  <si>
    <t>Resistor 0805 60.4R 1%</t>
  </si>
  <si>
    <t>0805S8F604JT5E</t>
  </si>
  <si>
    <t>CAN split termination</t>
  </si>
  <si>
    <t>R23</t>
  </si>
  <si>
    <t>61.9k</t>
  </si>
  <si>
    <t>Resistor 1206 61.9k 1%</t>
  </si>
  <si>
    <t>R_1206_3216Metric_Pad1.30x1.75mm_HandSolder</t>
  </si>
  <si>
    <t>1206S4F6192T5E</t>
  </si>
  <si>
    <t>LM5163 RON</t>
  </si>
  <si>
    <t>R24</t>
  </si>
  <si>
    <t>475k</t>
  </si>
  <si>
    <t>Resistor 0805 475k 1%</t>
  </si>
  <si>
    <t>0805S8F4753T5E</t>
  </si>
  <si>
    <t>LM5163 ripple injection</t>
  </si>
  <si>
    <t>R25</t>
  </si>
  <si>
    <t>316k</t>
  </si>
  <si>
    <t>Resistor 0805 316k 1%</t>
  </si>
  <si>
    <t>0805S8F3163T5E</t>
  </si>
  <si>
    <t>LM5163 feedback top</t>
  </si>
  <si>
    <t>R26</t>
  </si>
  <si>
    <t>100k</t>
  </si>
  <si>
    <t>Resistor 0805 100k 1%</t>
  </si>
  <si>
    <t>0805S8F1003T5E</t>
  </si>
  <si>
    <t>LM5163 feedback bottom</t>
  </si>
  <si>
    <t>R28, R29, R38, R44, R48, R52, R56, R60, R64, R68, R72, R76, R80, R84, R88, R92, R96, R100</t>
  </si>
  <si>
    <t>470R</t>
  </si>
  <si>
    <t>Resistor 0805 470R 1%</t>
  </si>
  <si>
    <t>0805S8F4700T5E</t>
  </si>
  <si>
    <t>LED / PhotoMOS series</t>
  </si>
  <si>
    <t>R33</t>
  </si>
  <si>
    <t>10k 1%</t>
  </si>
  <si>
    <t>Resistor 0805 10k 1%</t>
  </si>
  <si>
    <t>0805S8F1002T5E</t>
  </si>
  <si>
    <t>Thermistor divider: needs 1% or better. Not stocked: request</t>
  </si>
  <si>
    <t>R35, R40, R41, R45, R49, R53, R57, R61, R65, R69, R73, R77, R81, R85, R89, R93</t>
  </si>
  <si>
    <t>CRT05F7E1000</t>
  </si>
  <si>
    <t>Cell input filter</t>
  </si>
  <si>
    <t>R37, R42, R47, R51, R55, R59, R63, R67, R71, R75, R79, R83, R87, R91, R95, R99</t>
  </si>
  <si>
    <t>22R 2W</t>
  </si>
  <si>
    <t>Resistor 2512 22R 5% 2W</t>
  </si>
  <si>
    <t>R_2512_6332Metric_Pad1.40x3.35mm_HandSolder</t>
  </si>
  <si>
    <t>HP122WJ0220T4E</t>
  </si>
  <si>
    <t>Balance resistor. No 22R 2W 2512 stocked: request (any 2512 22R &gt;= 2W fits)</t>
  </si>
  <si>
    <t>R43</t>
  </si>
  <si>
    <t>0R</t>
  </si>
  <si>
    <t>Resistor 0805 0R</t>
  </si>
  <si>
    <t>0805S8F0000TDE</t>
  </si>
  <si>
    <t>GND to cell 0 (remove on the lower board if GND is wired to TP2). No 0805 0R stocked: a solder bridge works</t>
  </si>
  <si>
    <t>R97</t>
  </si>
  <si>
    <t>20R</t>
  </si>
  <si>
    <t>Resistor 0805 20R 1%</t>
  </si>
  <si>
    <t>0805S8F200JT5E</t>
  </si>
  <si>
    <t>VC16 input (TI: small top resistor)</t>
  </si>
  <si>
    <t>S1, S2</t>
  </si>
  <si>
    <t>BQ reset / MCU reset</t>
  </si>
  <si>
    <t>Tactile switch 6x6 mm THT</t>
  </si>
  <si>
    <t>DTS62RV</t>
  </si>
  <si>
    <t>Diptronics</t>
  </si>
  <si>
    <t>DTS-62R-V</t>
  </si>
  <si>
    <t>Wired wrong on v4.02 (see README). Use S2; Also resets the BQ (firmware)</t>
  </si>
  <si>
    <t>SW1</t>
  </si>
  <si>
    <t>BMS ID</t>
  </si>
  <si>
    <t>DIP switch 2 positions THT</t>
  </si>
  <si>
    <t>SW_DIP_SPSTx02_Slide_9.78x7.26mm_W7.62mm_P2.54mm</t>
  </si>
  <si>
    <t>NDS-02V</t>
  </si>
  <si>
    <t>Position 1-2 is PB11 = contactor after rework: leave open</t>
  </si>
  <si>
    <t>TH1, TH2, TH3</t>
  </si>
  <si>
    <t>10k NTC</t>
  </si>
  <si>
    <t>NTC 10k 1% B3950, 0805</t>
  </si>
  <si>
    <t>Thinking</t>
  </si>
  <si>
    <t>TSM2A103F3951RZ</t>
  </si>
  <si>
    <t>On-board temperature (BQ TS1-TS3). Not stocked (Murata NCP21XV103J03RA neither): request</t>
  </si>
  <si>
    <t>U1</t>
  </si>
  <si>
    <t>BQ76952</t>
  </si>
  <si>
    <t>Battery monitor 3-16S, TQFP-48</t>
  </si>
  <si>
    <t>QFP50P900X900X120-48N</t>
  </si>
  <si>
    <t>BQ76952PFBR</t>
  </si>
  <si>
    <t>Not stocked: request (or reuse parts you already have)</t>
  </si>
  <si>
    <t>U2</t>
  </si>
  <si>
    <t>REF3033</t>
  </si>
  <si>
    <t>Voltage reference 3.3V, SOT-23</t>
  </si>
  <si>
    <t>REF3033AIDBZR</t>
  </si>
  <si>
    <t>VDDA</t>
  </si>
  <si>
    <t>U3</t>
  </si>
  <si>
    <t>STM32F103C8T6</t>
  </si>
  <si>
    <t>MCU Cortex-M3 64KB, LQFP-48</t>
  </si>
  <si>
    <t>LQFP-48_7x7mm_P0.5mm</t>
  </si>
  <si>
    <t>STMicroelectronics</t>
  </si>
  <si>
    <t>U4</t>
  </si>
  <si>
    <t>ISO1050</t>
  </si>
  <si>
    <t>Isolated CAN transceiver, SOP-8</t>
  </si>
  <si>
    <t>SOP-8_6.62x9.15mm_P2.54mm</t>
  </si>
  <si>
    <t>ISO1050DUBR</t>
  </si>
  <si>
    <t>U5</t>
  </si>
  <si>
    <t>IS281</t>
  </si>
  <si>
    <t>Optocoupler phototransistor, SO-4</t>
  </si>
  <si>
    <t>SO-4_4.4x2.3mm_P1.27mm</t>
  </si>
  <si>
    <t>Isocom</t>
  </si>
  <si>
    <t>IS281GB</t>
  </si>
  <si>
    <t>Balance-enable input</t>
  </si>
  <si>
    <t>U6</t>
  </si>
  <si>
    <t>CD74HC4067</t>
  </si>
  <si>
    <t>16:1 analog mux, SSOP-24</t>
  </si>
  <si>
    <t>SSOP-24_5.3x8.2mm_P0.65mm</t>
  </si>
  <si>
    <t>CD74HC4067SM96</t>
  </si>
  <si>
    <t>Cell thermistor mux. Not stocked; Nexperia 74HC4067DB,118 (same SSOP-24) neither: request</t>
  </si>
  <si>
    <t>Y1</t>
  </si>
  <si>
    <t>16MHz</t>
  </si>
  <si>
    <t>Crystal 16MHz 18pF 20ppm</t>
  </si>
  <si>
    <t>RH10016000183050TR</t>
  </si>
  <si>
    <t>Raltron</t>
  </si>
  <si>
    <t>RH100-16.000-18-2030-EXT</t>
  </si>
  <si>
    <t>Same RH100 package as RH100-16.000-18-3050-TR (not stocked), tighter tolerance</t>
  </si>
  <si>
    <t>R1, R2</t>
  </si>
  <si>
    <t>DNP. Reserved for future I2C</t>
  </si>
  <si>
    <t>Total TRY</t>
  </si>
  <si>
    <t>Off-board parts (cable plugs, jumpers)</t>
  </si>
  <si>
    <t>Mates with</t>
  </si>
  <si>
    <t>Item</t>
  </si>
  <si>
    <t>Plug 10P 3.5mm</t>
  </si>
  <si>
    <t>Pluggable terminal block plug 10P 3.5mm</t>
  </si>
  <si>
    <t>15EDGK-3.5-10P-14-00AH</t>
  </si>
  <si>
    <t>Plug 7P 3.5mm</t>
  </si>
  <si>
    <t>Pluggable terminal block plug 7P 3.5mm</t>
  </si>
  <si>
    <t>15EDGK-3.5-07P-13-00AH</t>
  </si>
  <si>
    <t>Plug 4P 3.5mm</t>
  </si>
  <si>
    <t>Pluggable terminal block plug 4P 3.5mm</t>
  </si>
  <si>
    <t>15EDGK-3.5-04P-13-00AH</t>
  </si>
  <si>
    <t>Plug 2P 3.5mm</t>
  </si>
  <si>
    <t>Pluggable terminal block plug 2P 3.5mm</t>
  </si>
  <si>
    <t>15EDGK-3.5-02P-12-00AH</t>
  </si>
  <si>
    <t>Plug 4P 5.08mm</t>
  </si>
  <si>
    <t>Pluggable terminal block plug 4P 5.08mm</t>
  </si>
  <si>
    <t>2EDGK-5.08-04P-13-00AH</t>
  </si>
  <si>
    <t>Jumper 2.54mm</t>
  </si>
  <si>
    <t>Mini jumper 2.54mm closed</t>
  </si>
  <si>
    <t>L-KLS1-203A-C-B-6.5</t>
  </si>
  <si>
    <t>Fit only on the board at the end of the CAN bus</t>
  </si>
  <si>
    <t>No part to buy: test points TP1-TP12 and BQ_Reg18 are bare pads / pins.</t>
  </si>
  <si>
    <t>Red stock cell = Özdisan has fewer than needed for the board count above (use "Request Price &amp; Stock" or another supplier).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</si>
</sst>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sz val="10"/>
      <color theme="1"/>
      <name val="Arial"/>
      <charset val="1"/>
    </font>
    <font>
      <u/>
      <sz val="11"/>
      <color rgb="FF0563C1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563C1"/>
      </patternFill>
    </fill>
    <fill>
      <patternFill patternType="solid">
        <fgColor rgb="FFF8CBAD"/>
        <bgColor rgb="FFC0C0C0"/>
      </patternFill>
    </fill>
    <fill>
      <patternFill patternType="solid">
        <fgColor rgb="FF808080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4" fontId="6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>
      <alignment vertical="top" wrapText="1"/>
    </xf>
    <xf numFmtId="4" fontId="5" fillId="5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zdisan.com/en/p/led-signal-color-361/honglitronic-hl-psc-2012s9ac-471650" TargetMode="External"/><Relationship Id="rId21" Type="http://schemas.openxmlformats.org/officeDocument/2006/relationships/hyperlink" Target="https://www.ozdisan.com/en/p/smt-smd-and-mlcc-capacitors-184/samsung-cl21b224kbfnnne-11149" TargetMode="External"/><Relationship Id="rId42" Type="http://schemas.openxmlformats.org/officeDocument/2006/relationships/hyperlink" Target="https://www.ozdisan.com/en/p/smt-smd-and-chip-resistors-194/royalohm-0805s8j0103t5e-28433" TargetMode="External"/><Relationship Id="rId47" Type="http://schemas.openxmlformats.org/officeDocument/2006/relationships/hyperlink" Target="https://www.ozdisan.com/en/p/smt-smd-and-chip-resistors-194/royalohm-0805s8f2000t5e-404862" TargetMode="External"/><Relationship Id="rId63" Type="http://schemas.openxmlformats.org/officeDocument/2006/relationships/hyperlink" Target="https://www.ozdisan.com/en/p/ntc-thermistors-852/thinking-tsm2a103f3951rz-383456" TargetMode="External"/><Relationship Id="rId68" Type="http://schemas.openxmlformats.org/officeDocument/2006/relationships/hyperlink" Target="https://www.ozdisan.com/en/p/optocoupler-transistor-and-photovoltaic-output-189/isocom-is281gb-344697" TargetMode="External"/><Relationship Id="rId16" Type="http://schemas.openxmlformats.org/officeDocument/2006/relationships/hyperlink" Target="https://www.ozdisan.com/en/p/smt-smd-and-mlcc-capacitors-184/samsung-cl31b225kchsnne-523413" TargetMode="External"/><Relationship Id="rId11" Type="http://schemas.openxmlformats.org/officeDocument/2006/relationships/hyperlink" Target="https://www.ozdisan.com/en/p/smt-smd-and-mlcc-capacitors-184/samsung-cl21a475kaqnnne-441542" TargetMode="External"/><Relationship Id="rId24" Type="http://schemas.openxmlformats.org/officeDocument/2006/relationships/hyperlink" Target="https://www.ozdisan.com/en/p/rectifier-diodes-389/hottech-m7-ht-417206" TargetMode="External"/><Relationship Id="rId32" Type="http://schemas.openxmlformats.org/officeDocument/2006/relationships/hyperlink" Target="https://www.ozdisan.com/en/p/pluggable-terminal-blocks-411/degson-15edgvc-3-5-04p-13-00ah-476371" TargetMode="External"/><Relationship Id="rId37" Type="http://schemas.openxmlformats.org/officeDocument/2006/relationships/hyperlink" Target="https://www.ozdisan.com/en/p/screw-connectors-342/degson-k51-00ah-574940" TargetMode="External"/><Relationship Id="rId40" Type="http://schemas.openxmlformats.org/officeDocument/2006/relationships/hyperlink" Target="https://www.ozdisan.com/en/p/led-signal-color-361/kingbright-kp-2012src-prv-634977" TargetMode="External"/><Relationship Id="rId45" Type="http://schemas.openxmlformats.org/officeDocument/2006/relationships/hyperlink" Target="https://www.ozdisan.com/en/p/smt-smd-and-chip-resistors-194/viking-crt05f7e4701-1086646" TargetMode="External"/><Relationship Id="rId53" Type="http://schemas.openxmlformats.org/officeDocument/2006/relationships/hyperlink" Target="https://www.ozdisan.com/en/p/smt-smd-and-chip-resistors-194/royalohm-0805s8f3163t5e-505632" TargetMode="External"/><Relationship Id="rId58" Type="http://schemas.openxmlformats.org/officeDocument/2006/relationships/hyperlink" Target="https://www.ozdisan.com/en/p/smt-smd-and-chip-resistors-194/royalohm-hp122wj0220t4e-604706" TargetMode="External"/><Relationship Id="rId66" Type="http://schemas.openxmlformats.org/officeDocument/2006/relationships/hyperlink" Target="https://www.ozdisan.com/en/p/microcontrollers-218/stm-stm32f103c8t6-368374" TargetMode="External"/><Relationship Id="rId74" Type="http://schemas.openxmlformats.org/officeDocument/2006/relationships/hyperlink" Target="https://www.ozdisan.com/en/p/pluggable-terminal-blocks-411/degson-15edgk-3-5-04p-13-00ah-476366" TargetMode="External"/><Relationship Id="rId5" Type="http://schemas.openxmlformats.org/officeDocument/2006/relationships/hyperlink" Target="https://www.ozdisan.com/en/p/smt-smd-and-mlcc-capacitors-184/viking-mcf05ktb500102-1057174" TargetMode="External"/><Relationship Id="rId61" Type="http://schemas.openxmlformats.org/officeDocument/2006/relationships/hyperlink" Target="https://www.ozdisan.com/en/p/tactile-switches-485/diptronics-dts-62r-v-476750" TargetMode="External"/><Relationship Id="rId19" Type="http://schemas.openxmlformats.org/officeDocument/2006/relationships/hyperlink" Target="https://www.ozdisan.com/en/p/smt-smd-and-mlcc-capacitors-184/tdk-cga5l3x5r1h106m160ab-1067014" TargetMode="External"/><Relationship Id="rId14" Type="http://schemas.openxmlformats.org/officeDocument/2006/relationships/hyperlink" Target="https://www.ozdisan.com/en/p/smt-smd-and-mlcc-capacitors-184/yageo-cc0805jrnpo9bn100-743750" TargetMode="External"/><Relationship Id="rId22" Type="http://schemas.openxmlformats.org/officeDocument/2006/relationships/hyperlink" Target="https://www.ozdisan.com/en/p/schottky-diodes-385/diodes-bat46w-7-f-982659" TargetMode="External"/><Relationship Id="rId27" Type="http://schemas.openxmlformats.org/officeDocument/2006/relationships/hyperlink" Target="https://www.ozdisan.com/en/p/fuses-849/reomax-set1100-525709" TargetMode="External"/><Relationship Id="rId30" Type="http://schemas.openxmlformats.org/officeDocument/2006/relationships/hyperlink" Target="https://www.ozdisan.com/en/p/pluggable-terminal-blocks-411/degson-15edgvc-3-5-10p-14-00ah-701064" TargetMode="External"/><Relationship Id="rId35" Type="http://schemas.openxmlformats.org/officeDocument/2006/relationships/hyperlink" Target="https://www.ozdisan.com/en/p/box-headers-295/connfly-ds1013-10ssib1-346528" TargetMode="External"/><Relationship Id="rId43" Type="http://schemas.openxmlformats.org/officeDocument/2006/relationships/hyperlink" Target="https://www.ozdisan.com/en/p/smt-smd-and-chip-resistors-194/royalohm-0805s8f1000t5e-30250" TargetMode="External"/><Relationship Id="rId48" Type="http://schemas.openxmlformats.org/officeDocument/2006/relationships/hyperlink" Target="https://www.ozdisan.com/en/p/smt-smd-and-chip-resistors-194/royalohm-0805s8f3300t5e-36831" TargetMode="External"/><Relationship Id="rId56" Type="http://schemas.openxmlformats.org/officeDocument/2006/relationships/hyperlink" Target="https://www.ozdisan.com/en/p/smt-smd-and-chip-resistors-194/royalohm-0805s8f1002t5e-30240" TargetMode="External"/><Relationship Id="rId64" Type="http://schemas.openxmlformats.org/officeDocument/2006/relationships/hyperlink" Target="https://www.ozdisan.com/en/p/battery-management-ics-272/texas-bq76952pfbr-993252" TargetMode="External"/><Relationship Id="rId69" Type="http://schemas.openxmlformats.org/officeDocument/2006/relationships/hyperlink" Target="https://www.ozdisan.com/en/p/switch-ics-226/texas-cd74hc4067sm96-1577495" TargetMode="External"/><Relationship Id="rId77" Type="http://schemas.openxmlformats.org/officeDocument/2006/relationships/hyperlink" Target="https://www.ozdisan.com/en/p/mini-jumpers-324/kls-electronic-l-kls1-203a-c-b-6-5-456491" TargetMode="External"/><Relationship Id="rId8" Type="http://schemas.openxmlformats.org/officeDocument/2006/relationships/hyperlink" Target="https://www.ozdisan.com/en/p/smt-smd-and-mlcc-capacitors-184/murata-grt21bc71e106ke13l-695580" TargetMode="External"/><Relationship Id="rId51" Type="http://schemas.openxmlformats.org/officeDocument/2006/relationships/hyperlink" Target="https://www.ozdisan.com/en/p/smt-smd-and-chip-resistors-194/royalohm-1206s4f6192t5e-505187" TargetMode="External"/><Relationship Id="rId72" Type="http://schemas.openxmlformats.org/officeDocument/2006/relationships/hyperlink" Target="https://www.ozdisan.com/en/p/pluggable-terminal-blocks-411/degson-15edgk-3-5-10p-14-00ah-701038" TargetMode="External"/><Relationship Id="rId3" Type="http://schemas.openxmlformats.org/officeDocument/2006/relationships/hyperlink" Target="https://www.ozdisan.com/en/p/smt-smd-and-mlcc-capacitors-184/samsung-cl21y105kcfvpje-634349" TargetMode="External"/><Relationship Id="rId12" Type="http://schemas.openxmlformats.org/officeDocument/2006/relationships/hyperlink" Target="https://www.ozdisan.com/en/p/smt-smd-and-mlcc-capacitors-184/samsung-cl21c300jbannnc-523139" TargetMode="External"/><Relationship Id="rId17" Type="http://schemas.openxmlformats.org/officeDocument/2006/relationships/hyperlink" Target="https://www.ozdisan.com/en/p/smt-smd-and-mlcc-capacitors-184/viking-mcf05ktb500222-1057182" TargetMode="External"/><Relationship Id="rId25" Type="http://schemas.openxmlformats.org/officeDocument/2006/relationships/hyperlink" Target="https://www.ozdisan.com/en/p/zener-diodes-390/panjit-bzx584c4v7-r2-00001-464736" TargetMode="External"/><Relationship Id="rId33" Type="http://schemas.openxmlformats.org/officeDocument/2006/relationships/hyperlink" Target="https://www.ozdisan.com/en/p/pluggable-terminal-blocks-411/degson-15edgvc-3-5-02p-12-00ah-707708" TargetMode="External"/><Relationship Id="rId38" Type="http://schemas.openxmlformats.org/officeDocument/2006/relationships/hyperlink" Target="https://www.ozdisan.com/en/p/pcb-connectors-310/kls-electronic-l-kls1-xl4-2-00-2x08-s-628024" TargetMode="External"/><Relationship Id="rId46" Type="http://schemas.openxmlformats.org/officeDocument/2006/relationships/hyperlink" Target="https://www.ozdisan.com/en/p/smt-smd-and-chip-resistors-194/royalohm-0805s8f1001t5e-29698" TargetMode="External"/><Relationship Id="rId59" Type="http://schemas.openxmlformats.org/officeDocument/2006/relationships/hyperlink" Target="https://www.ozdisan.com/en/p/smt-smd-and-chip-resistors-194/royalohm-0805s8f0000tde-502826" TargetMode="External"/><Relationship Id="rId67" Type="http://schemas.openxmlformats.org/officeDocument/2006/relationships/hyperlink" Target="https://www.ozdisan.com/en/p/drivers-receivers-and-transceivers-229/texas-iso1050dubr-348272" TargetMode="External"/><Relationship Id="rId20" Type="http://schemas.openxmlformats.org/officeDocument/2006/relationships/hyperlink" Target="https://www.ozdisan.com/en/p/solid-state-relays-405/panasonic-comp-aqy212gsz-596939" TargetMode="External"/><Relationship Id="rId41" Type="http://schemas.openxmlformats.org/officeDocument/2006/relationships/hyperlink" Target="https://www.ozdisan.com/en/p/discrete-mosfets-435/vishay-si1050x-t1-ge3-502451" TargetMode="External"/><Relationship Id="rId54" Type="http://schemas.openxmlformats.org/officeDocument/2006/relationships/hyperlink" Target="https://www.ozdisan.com/en/p/smt-smd-and-chip-resistors-194/royalohm-0805s8f1003t5e-30244" TargetMode="External"/><Relationship Id="rId62" Type="http://schemas.openxmlformats.org/officeDocument/2006/relationships/hyperlink" Target="https://www.ozdisan.com/en/p/dip-switches-491/diptronics-nds-02v-650600" TargetMode="External"/><Relationship Id="rId70" Type="http://schemas.openxmlformats.org/officeDocument/2006/relationships/hyperlink" Target="https://www.ozdisan.com/en/p/crystals-508/raltron-rh100-16-000-18-2030-ext-642974" TargetMode="External"/><Relationship Id="rId75" Type="http://schemas.openxmlformats.org/officeDocument/2006/relationships/hyperlink" Target="https://www.ozdisan.com/en/p/pluggable-terminal-blocks-411/degson-15edgk-3-5-02p-12-00ah-596273" TargetMode="External"/><Relationship Id="rId1" Type="http://schemas.openxmlformats.org/officeDocument/2006/relationships/hyperlink" Target="https://www.ozdisan.com/en/p/smt-smd-and-mlcc-capacitors-184/samsung-cl31b105kchnnne-382908" TargetMode="External"/><Relationship Id="rId6" Type="http://schemas.openxmlformats.org/officeDocument/2006/relationships/hyperlink" Target="https://www.ozdisan.com/en/p/smt-smd-and-mlcc-capacitors-184/samsung-cl21b225kafnnne-347149" TargetMode="External"/><Relationship Id="rId15" Type="http://schemas.openxmlformats.org/officeDocument/2006/relationships/hyperlink" Target="https://www.ozdisan.com/en/p/smt-smd-and-mlcc-capacitors-184/samsung-cl21b105kbfnnne-347740" TargetMode="External"/><Relationship Id="rId23" Type="http://schemas.openxmlformats.org/officeDocument/2006/relationships/hyperlink" Target="https://www.ozdisan.com/en/p/schottky-diodes-385/ons-bat54clt1g-532668" TargetMode="External"/><Relationship Id="rId28" Type="http://schemas.openxmlformats.org/officeDocument/2006/relationships/hyperlink" Target="https://www.ozdisan.com/en/p/linear-voltage-regulators-279/texas-tps73233dbvr-588532" TargetMode="External"/><Relationship Id="rId36" Type="http://schemas.openxmlformats.org/officeDocument/2006/relationships/hyperlink" Target="https://www.ozdisan.com/en/p/pin-headers-293/kls-electronic-l-kls1-207-1-40-s-456171" TargetMode="External"/><Relationship Id="rId49" Type="http://schemas.openxmlformats.org/officeDocument/2006/relationships/hyperlink" Target="https://www.ozdisan.com/en/p/smt-smd-and-chip-resistors-194/royalohm-0805s8f1004t5e-29700" TargetMode="External"/><Relationship Id="rId57" Type="http://schemas.openxmlformats.org/officeDocument/2006/relationships/hyperlink" Target="https://www.ozdisan.com/en/p/smt-smd-and-chip-resistors-194/viking-crt05f7e1000-1077269" TargetMode="External"/><Relationship Id="rId10" Type="http://schemas.openxmlformats.org/officeDocument/2006/relationships/hyperlink" Target="https://www.ozdisan.com/en/p/smt-smd-and-mlcc-capacitors-184/samsung-cl21c220jbannnc-5638" TargetMode="External"/><Relationship Id="rId31" Type="http://schemas.openxmlformats.org/officeDocument/2006/relationships/hyperlink" Target="https://www.ozdisan.com/en/p/pluggable-terminal-blocks-411/degson-15edgvc-3-5-07p-13-00ah-741176" TargetMode="External"/><Relationship Id="rId44" Type="http://schemas.openxmlformats.org/officeDocument/2006/relationships/hyperlink" Target="https://www.ozdisan.com/en/p/precision-power-and-shunt-resistors-195/isabellenhutte-bvs-a-r002-1-0-536227" TargetMode="External"/><Relationship Id="rId52" Type="http://schemas.openxmlformats.org/officeDocument/2006/relationships/hyperlink" Target="https://www.ozdisan.com/en/p/smt-smd-and-chip-resistors-194/royalohm-0805s8f4753t5e-505646" TargetMode="External"/><Relationship Id="rId60" Type="http://schemas.openxmlformats.org/officeDocument/2006/relationships/hyperlink" Target="https://www.ozdisan.com/en/p/smt-smd-and-chip-resistors-194/royalohm-0805s8f200jt5e-453058" TargetMode="External"/><Relationship Id="rId65" Type="http://schemas.openxmlformats.org/officeDocument/2006/relationships/hyperlink" Target="https://www.ozdisan.com/en/p/voltage-reference-ics-287/texas-ref3033aidbzr-616752" TargetMode="External"/><Relationship Id="rId73" Type="http://schemas.openxmlformats.org/officeDocument/2006/relationships/hyperlink" Target="https://www.ozdisan.com/en/p/pluggable-terminal-blocks-411/degson-15edgk-3-5-07p-13-00ah-741160" TargetMode="External"/><Relationship Id="rId4" Type="http://schemas.openxmlformats.org/officeDocument/2006/relationships/hyperlink" Target="https://www.ozdisan.com/en/p/smt-smd-and-mlcc-capacitors-184/samsung-cl21c101jbannnc-5599" TargetMode="External"/><Relationship Id="rId9" Type="http://schemas.openxmlformats.org/officeDocument/2006/relationships/hyperlink" Target="https://www.ozdisan.com/en/p/smt-smd-and-mlcc-capacitors-184/samsung-cl21b103kbannnc-5607" TargetMode="External"/><Relationship Id="rId13" Type="http://schemas.openxmlformats.org/officeDocument/2006/relationships/hyperlink" Target="https://www.ozdisan.com/en/p/ceramic-capacitors-181/cinetech-kb3d332kl518y-401993" TargetMode="External"/><Relationship Id="rId18" Type="http://schemas.openxmlformats.org/officeDocument/2006/relationships/hyperlink" Target="https://www.ozdisan.com/en/p/smt-smd-and-mlcc-capacitors-184/viking-mcf05jtn500560-1078244" TargetMode="External"/><Relationship Id="rId39" Type="http://schemas.openxmlformats.org/officeDocument/2006/relationships/hyperlink" Target="https://www.ozdisan.com/en/p/fixed-inductors-468/core-master-sdi104r-221m-506762" TargetMode="External"/><Relationship Id="rId34" Type="http://schemas.openxmlformats.org/officeDocument/2006/relationships/hyperlink" Target="https://www.ozdisan.com/en/p/pluggable-terminal-blocks-411/degson-2edgvc-5-08-04p-14-00ah-633947" TargetMode="External"/><Relationship Id="rId50" Type="http://schemas.openxmlformats.org/officeDocument/2006/relationships/hyperlink" Target="https://www.ozdisan.com/en/p/smt-smd-and-chip-resistors-194/royalohm-0805s8f604jt5e-505356" TargetMode="External"/><Relationship Id="rId55" Type="http://schemas.openxmlformats.org/officeDocument/2006/relationships/hyperlink" Target="https://www.ozdisan.com/en/p/smt-smd-and-chip-resistors-194/royalohm-0805s8f4700t5e-29701" TargetMode="External"/><Relationship Id="rId76" Type="http://schemas.openxmlformats.org/officeDocument/2006/relationships/hyperlink" Target="https://www.ozdisan.com/en/p/pluggable-terminal-blocks-411/degson-2edgk-5-08-04p-13-00ah-515290" TargetMode="External"/><Relationship Id="rId7" Type="http://schemas.openxmlformats.org/officeDocument/2006/relationships/hyperlink" Target="https://www.ozdisan.com/en/p/smt-smd-and-mlcc-capacitors-184/samsung-cl21b474kbfnnne-337061" TargetMode="External"/><Relationship Id="rId71" Type="http://schemas.openxmlformats.org/officeDocument/2006/relationships/hyperlink" Target="https://www.ozdisan.com/en/p/smt-smd-and-chip-resistors-194/royalohm-0805s8f0000tde-502826" TargetMode="External"/><Relationship Id="rId2" Type="http://schemas.openxmlformats.org/officeDocument/2006/relationships/hyperlink" Target="https://www.ozdisan.com/en/p/smt-smd-and-mlcc-capacitors-184/samsung-cl21b104kbcnnnc-14777" TargetMode="External"/><Relationship Id="rId29" Type="http://schemas.openxmlformats.org/officeDocument/2006/relationships/hyperlink" Target="https://www.ozdisan.com/en/p/dc-dc-switching-voltage-regulators-275/texas-lm5163hqddarq1-1044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70" zoomScaleNormal="70" workbookViewId="0">
      <pane xSplit="2" ySplit="5" topLeftCell="C61" activePane="bottomRight" state="frozen"/>
      <selection pane="topRight" activeCell="C1" sqref="C1"/>
      <selection pane="bottomLeft" activeCell="A6" sqref="A6"/>
      <selection pane="bottomRight" activeCell="F75" sqref="F75"/>
    </sheetView>
  </sheetViews>
  <sheetFormatPr defaultColWidth="8.6640625" defaultRowHeight="14.4" x14ac:dyDescent="0.3"/>
  <cols>
    <col min="1" max="1" width="4" customWidth="1"/>
    <col min="2" max="2" width="34" customWidth="1"/>
    <col min="3" max="3" width="8" customWidth="1"/>
    <col min="4" max="4" width="14" customWidth="1"/>
    <col min="5" max="5" width="38" customWidth="1"/>
    <col min="6" max="6" width="30" customWidth="1"/>
    <col min="7" max="7" width="16" customWidth="1"/>
    <col min="8" max="8" width="26" customWidth="1"/>
    <col min="9" max="9" width="10" customWidth="1"/>
    <col min="10" max="11" width="12" customWidth="1"/>
    <col min="12" max="12" width="7" customWidth="1"/>
    <col min="13" max="14" width="12" customWidth="1"/>
    <col min="15" max="15" width="60" customWidth="1"/>
  </cols>
  <sheetData>
    <row r="1" spans="1:15" ht="17.399999999999999" x14ac:dyDescent="0.3">
      <c r="A1" s="16" t="s">
        <v>0</v>
      </c>
      <c r="B1" s="16"/>
      <c r="C1" s="16"/>
      <c r="D1" s="16"/>
      <c r="E1" s="16"/>
      <c r="F1" s="16"/>
    </row>
    <row r="2" spans="1:15" x14ac:dyDescent="0.3">
      <c r="A2" s="17" t="s">
        <v>1</v>
      </c>
      <c r="B2" s="17"/>
      <c r="C2" s="17"/>
      <c r="D2" s="17"/>
      <c r="E2" s="17"/>
      <c r="F2" s="17"/>
      <c r="G2" s="17"/>
      <c r="H2" s="17"/>
    </row>
    <row r="3" spans="1:15" x14ac:dyDescent="0.3">
      <c r="A3" s="1" t="s">
        <v>2</v>
      </c>
      <c r="C3" s="2">
        <v>2</v>
      </c>
    </row>
    <row r="5" spans="1:15" ht="41.4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spans="1:15" ht="26.4" x14ac:dyDescent="0.3">
      <c r="A6" s="4">
        <v>1</v>
      </c>
      <c r="B6" s="5" t="s">
        <v>18</v>
      </c>
      <c r="C6" s="4">
        <v>1</v>
      </c>
      <c r="D6" s="4" t="s">
        <v>19</v>
      </c>
      <c r="E6" s="5" t="s">
        <v>20</v>
      </c>
      <c r="F6" s="4" t="s">
        <v>21</v>
      </c>
      <c r="G6" s="4" t="s">
        <v>22</v>
      </c>
      <c r="H6" s="4" t="s">
        <v>23</v>
      </c>
      <c r="I6" s="6" t="s">
        <v>24</v>
      </c>
      <c r="J6" s="7">
        <v>0</v>
      </c>
      <c r="K6" s="8">
        <v>3.2257699999999998</v>
      </c>
      <c r="L6" s="4">
        <v>2</v>
      </c>
      <c r="M6" s="4">
        <f t="shared" ref="M6:M37" si="0">IF(L6="",C6*$C$3,MAX(C6*$C$3,L6))</f>
        <v>2</v>
      </c>
      <c r="N6" s="8">
        <f t="shared" ref="N6:N37" si="1">IF(K6="","",K6*M6)</f>
        <v>6.4515399999999996</v>
      </c>
      <c r="O6" s="5" t="s">
        <v>25</v>
      </c>
    </row>
    <row r="7" spans="1:15" ht="26.4" x14ac:dyDescent="0.3">
      <c r="A7" s="4">
        <v>2</v>
      </c>
      <c r="B7" s="5" t="s">
        <v>26</v>
      </c>
      <c r="C7" s="4">
        <v>10</v>
      </c>
      <c r="D7" s="4" t="s">
        <v>27</v>
      </c>
      <c r="E7" s="5" t="s">
        <v>28</v>
      </c>
      <c r="F7" s="4" t="s">
        <v>29</v>
      </c>
      <c r="G7" s="4" t="s">
        <v>22</v>
      </c>
      <c r="H7" s="4" t="s">
        <v>30</v>
      </c>
      <c r="I7" s="6" t="s">
        <v>24</v>
      </c>
      <c r="J7" s="4">
        <v>65330</v>
      </c>
      <c r="K7" s="8">
        <v>0.69203999999999999</v>
      </c>
      <c r="L7" s="4">
        <v>10</v>
      </c>
      <c r="M7" s="4">
        <f t="shared" si="0"/>
        <v>20</v>
      </c>
      <c r="N7" s="8">
        <f t="shared" si="1"/>
        <v>13.8408</v>
      </c>
      <c r="O7" s="5" t="s">
        <v>31</v>
      </c>
    </row>
    <row r="8" spans="1:15" ht="26.4" x14ac:dyDescent="0.3">
      <c r="A8" s="4">
        <v>3</v>
      </c>
      <c r="B8" s="5" t="s">
        <v>32</v>
      </c>
      <c r="C8" s="4">
        <v>1</v>
      </c>
      <c r="D8" s="4" t="s">
        <v>19</v>
      </c>
      <c r="E8" s="5" t="s">
        <v>33</v>
      </c>
      <c r="F8" s="4" t="s">
        <v>29</v>
      </c>
      <c r="G8" s="4" t="s">
        <v>22</v>
      </c>
      <c r="H8" s="4" t="s">
        <v>34</v>
      </c>
      <c r="I8" s="6" t="s">
        <v>24</v>
      </c>
      <c r="J8" s="4">
        <v>60891</v>
      </c>
      <c r="K8" s="8">
        <v>11.851699999999999</v>
      </c>
      <c r="L8" s="4">
        <v>1</v>
      </c>
      <c r="M8" s="4">
        <f t="shared" si="0"/>
        <v>2</v>
      </c>
      <c r="N8" s="8">
        <f t="shared" si="1"/>
        <v>23.703399999999998</v>
      </c>
      <c r="O8" s="5" t="s">
        <v>35</v>
      </c>
    </row>
    <row r="9" spans="1:15" x14ac:dyDescent="0.3">
      <c r="A9" s="4">
        <v>4</v>
      </c>
      <c r="B9" s="5" t="s">
        <v>36</v>
      </c>
      <c r="C9" s="4">
        <v>1</v>
      </c>
      <c r="D9" s="4" t="s">
        <v>37</v>
      </c>
      <c r="E9" s="5" t="s">
        <v>38</v>
      </c>
      <c r="F9" s="4" t="s">
        <v>29</v>
      </c>
      <c r="G9" s="4" t="s">
        <v>22</v>
      </c>
      <c r="H9" s="4" t="s">
        <v>39</v>
      </c>
      <c r="I9" s="6" t="s">
        <v>24</v>
      </c>
      <c r="J9" s="4">
        <v>823356</v>
      </c>
      <c r="K9" s="8">
        <v>0.60916000000000003</v>
      </c>
      <c r="L9" s="4">
        <v>10</v>
      </c>
      <c r="M9" s="4">
        <f t="shared" si="0"/>
        <v>10</v>
      </c>
      <c r="N9" s="8">
        <f t="shared" si="1"/>
        <v>6.0916000000000006</v>
      </c>
      <c r="O9" s="5" t="s">
        <v>31</v>
      </c>
    </row>
    <row r="10" spans="1:15" x14ac:dyDescent="0.3">
      <c r="A10" s="4">
        <v>5</v>
      </c>
      <c r="B10" s="5" t="s">
        <v>40</v>
      </c>
      <c r="C10" s="4">
        <v>3</v>
      </c>
      <c r="D10" s="4" t="s">
        <v>41</v>
      </c>
      <c r="E10" s="5" t="s">
        <v>42</v>
      </c>
      <c r="F10" s="4" t="s">
        <v>29</v>
      </c>
      <c r="G10" s="4" t="s">
        <v>43</v>
      </c>
      <c r="H10" s="4" t="s">
        <v>44</v>
      </c>
      <c r="I10" s="6" t="s">
        <v>24</v>
      </c>
      <c r="J10" s="4">
        <v>16113</v>
      </c>
      <c r="K10" s="8">
        <v>0.69989999999999997</v>
      </c>
      <c r="L10" s="4">
        <v>10</v>
      </c>
      <c r="M10" s="4">
        <f t="shared" si="0"/>
        <v>10</v>
      </c>
      <c r="N10" s="8">
        <f t="shared" si="1"/>
        <v>6.9989999999999997</v>
      </c>
      <c r="O10" s="5" t="s">
        <v>45</v>
      </c>
    </row>
    <row r="11" spans="1:15" x14ac:dyDescent="0.3">
      <c r="A11" s="4">
        <v>6</v>
      </c>
      <c r="B11" s="5" t="s">
        <v>46</v>
      </c>
      <c r="C11" s="4">
        <v>1</v>
      </c>
      <c r="D11" s="4" t="s">
        <v>47</v>
      </c>
      <c r="E11" s="5" t="s">
        <v>48</v>
      </c>
      <c r="F11" s="4" t="s">
        <v>29</v>
      </c>
      <c r="G11" s="4" t="s">
        <v>22</v>
      </c>
      <c r="H11" s="4" t="s">
        <v>49</v>
      </c>
      <c r="I11" s="6" t="s">
        <v>24</v>
      </c>
      <c r="J11" s="4">
        <v>783799</v>
      </c>
      <c r="K11" s="8">
        <v>2.0740500000000002</v>
      </c>
      <c r="L11" s="4">
        <v>5</v>
      </c>
      <c r="M11" s="4">
        <f t="shared" si="0"/>
        <v>5</v>
      </c>
      <c r="N11" s="8">
        <f t="shared" si="1"/>
        <v>10.37025</v>
      </c>
      <c r="O11" s="5" t="s">
        <v>50</v>
      </c>
    </row>
    <row r="12" spans="1:15" x14ac:dyDescent="0.3">
      <c r="A12" s="4">
        <v>7</v>
      </c>
      <c r="B12" s="5" t="s">
        <v>51</v>
      </c>
      <c r="C12" s="4">
        <v>1</v>
      </c>
      <c r="D12" s="4" t="s">
        <v>52</v>
      </c>
      <c r="E12" s="5" t="s">
        <v>53</v>
      </c>
      <c r="F12" s="4" t="s">
        <v>29</v>
      </c>
      <c r="G12" s="4" t="s">
        <v>22</v>
      </c>
      <c r="H12" s="4" t="s">
        <v>54</v>
      </c>
      <c r="I12" s="6" t="s">
        <v>24</v>
      </c>
      <c r="J12" s="4">
        <v>20455</v>
      </c>
      <c r="K12" s="8">
        <v>0.96736999999999995</v>
      </c>
      <c r="L12" s="4">
        <v>10</v>
      </c>
      <c r="M12" s="4">
        <f t="shared" si="0"/>
        <v>10</v>
      </c>
      <c r="N12" s="8">
        <f t="shared" si="1"/>
        <v>9.6737000000000002</v>
      </c>
      <c r="O12" s="5"/>
    </row>
    <row r="13" spans="1:15" x14ac:dyDescent="0.3">
      <c r="A13" s="4">
        <v>8</v>
      </c>
      <c r="B13" s="5" t="s">
        <v>55</v>
      </c>
      <c r="C13" s="4">
        <v>2</v>
      </c>
      <c r="D13" s="4" t="s">
        <v>56</v>
      </c>
      <c r="E13" s="5" t="s">
        <v>57</v>
      </c>
      <c r="F13" s="4" t="s">
        <v>29</v>
      </c>
      <c r="G13" s="4" t="s">
        <v>58</v>
      </c>
      <c r="H13" s="4" t="s">
        <v>59</v>
      </c>
      <c r="I13" s="6" t="s">
        <v>24</v>
      </c>
      <c r="J13" s="4">
        <v>396</v>
      </c>
      <c r="K13" s="8">
        <v>24.813600000000001</v>
      </c>
      <c r="L13" s="4">
        <v>1</v>
      </c>
      <c r="M13" s="4">
        <f t="shared" si="0"/>
        <v>4</v>
      </c>
      <c r="N13" s="8">
        <f t="shared" si="1"/>
        <v>99.254400000000004</v>
      </c>
      <c r="O13" s="5" t="s">
        <v>60</v>
      </c>
    </row>
    <row r="14" spans="1:15" x14ac:dyDescent="0.3">
      <c r="A14" s="4">
        <v>9</v>
      </c>
      <c r="B14" s="5" t="s">
        <v>61</v>
      </c>
      <c r="C14" s="4">
        <v>2</v>
      </c>
      <c r="D14" s="4" t="s">
        <v>62</v>
      </c>
      <c r="E14" s="5" t="s">
        <v>63</v>
      </c>
      <c r="F14" s="4" t="s">
        <v>29</v>
      </c>
      <c r="G14" s="4" t="s">
        <v>22</v>
      </c>
      <c r="H14" s="4" t="s">
        <v>64</v>
      </c>
      <c r="I14" s="6" t="s">
        <v>24</v>
      </c>
      <c r="J14" s="4">
        <v>587532</v>
      </c>
      <c r="K14" s="8">
        <v>0.79500999999999999</v>
      </c>
      <c r="L14" s="4">
        <v>10</v>
      </c>
      <c r="M14" s="4">
        <f t="shared" si="0"/>
        <v>10</v>
      </c>
      <c r="N14" s="8">
        <f t="shared" si="1"/>
        <v>7.9500999999999999</v>
      </c>
      <c r="O14" s="5"/>
    </row>
    <row r="15" spans="1:15" x14ac:dyDescent="0.3">
      <c r="A15" s="4">
        <v>10</v>
      </c>
      <c r="B15" s="5" t="s">
        <v>65</v>
      </c>
      <c r="C15" s="4">
        <v>2</v>
      </c>
      <c r="D15" s="4" t="s">
        <v>66</v>
      </c>
      <c r="E15" s="5" t="s">
        <v>67</v>
      </c>
      <c r="F15" s="4" t="s">
        <v>68</v>
      </c>
      <c r="G15" s="4" t="s">
        <v>22</v>
      </c>
      <c r="H15" s="4" t="s">
        <v>69</v>
      </c>
      <c r="I15" s="6" t="s">
        <v>24</v>
      </c>
      <c r="J15" s="4">
        <v>2614482</v>
      </c>
      <c r="K15" s="8">
        <v>0.5988</v>
      </c>
      <c r="L15" s="4">
        <v>10</v>
      </c>
      <c r="M15" s="4">
        <f t="shared" si="0"/>
        <v>10</v>
      </c>
      <c r="N15" s="8">
        <f t="shared" si="1"/>
        <v>5.9879999999999995</v>
      </c>
      <c r="O15" s="5" t="s">
        <v>70</v>
      </c>
    </row>
    <row r="16" spans="1:15" x14ac:dyDescent="0.3">
      <c r="A16" s="4">
        <v>11</v>
      </c>
      <c r="B16" s="5" t="s">
        <v>71</v>
      </c>
      <c r="C16" s="4">
        <v>1</v>
      </c>
      <c r="D16" s="4" t="s">
        <v>72</v>
      </c>
      <c r="E16" s="5" t="s">
        <v>73</v>
      </c>
      <c r="F16" s="4" t="s">
        <v>68</v>
      </c>
      <c r="G16" s="4" t="s">
        <v>22</v>
      </c>
      <c r="H16" s="4" t="s">
        <v>74</v>
      </c>
      <c r="I16" s="6" t="s">
        <v>24</v>
      </c>
      <c r="J16" s="4">
        <v>4706</v>
      </c>
      <c r="K16" s="8">
        <v>1.38365</v>
      </c>
      <c r="L16" s="4">
        <v>5</v>
      </c>
      <c r="M16" s="4">
        <f t="shared" si="0"/>
        <v>5</v>
      </c>
      <c r="N16" s="8">
        <f t="shared" si="1"/>
        <v>6.9182500000000005</v>
      </c>
      <c r="O16" s="5"/>
    </row>
    <row r="17" spans="1:15" ht="26.4" x14ac:dyDescent="0.3">
      <c r="A17" s="4">
        <v>12</v>
      </c>
      <c r="B17" s="5" t="s">
        <v>75</v>
      </c>
      <c r="C17" s="4">
        <v>2</v>
      </c>
      <c r="D17" s="4" t="s">
        <v>76</v>
      </c>
      <c r="E17" s="5" t="s">
        <v>77</v>
      </c>
      <c r="F17" s="4" t="s">
        <v>29</v>
      </c>
      <c r="G17" s="4" t="s">
        <v>22</v>
      </c>
      <c r="H17" s="4" t="s">
        <v>78</v>
      </c>
      <c r="I17" s="6" t="s">
        <v>24</v>
      </c>
      <c r="J17" s="7">
        <v>0</v>
      </c>
      <c r="K17" s="8"/>
      <c r="L17" s="4">
        <v>10</v>
      </c>
      <c r="M17" s="4">
        <f t="shared" si="0"/>
        <v>10</v>
      </c>
      <c r="N17" s="8" t="str">
        <f t="shared" si="1"/>
        <v/>
      </c>
      <c r="O17" s="5" t="s">
        <v>79</v>
      </c>
    </row>
    <row r="18" spans="1:15" ht="26.4" x14ac:dyDescent="0.3">
      <c r="A18" s="4">
        <v>13</v>
      </c>
      <c r="B18" s="5" t="s">
        <v>80</v>
      </c>
      <c r="C18" s="4">
        <v>1</v>
      </c>
      <c r="D18" s="4" t="s">
        <v>81</v>
      </c>
      <c r="E18" s="5" t="s">
        <v>82</v>
      </c>
      <c r="F18" s="4" t="s">
        <v>83</v>
      </c>
      <c r="G18" s="4" t="s">
        <v>84</v>
      </c>
      <c r="H18" s="4" t="s">
        <v>85</v>
      </c>
      <c r="I18" s="6" t="s">
        <v>24</v>
      </c>
      <c r="J18" s="7">
        <v>0</v>
      </c>
      <c r="K18" s="8">
        <v>12.9453</v>
      </c>
      <c r="L18" s="4">
        <v>1</v>
      </c>
      <c r="M18" s="4">
        <f t="shared" si="0"/>
        <v>2</v>
      </c>
      <c r="N18" s="8">
        <f t="shared" si="1"/>
        <v>25.890599999999999</v>
      </c>
      <c r="O18" s="5" t="s">
        <v>86</v>
      </c>
    </row>
    <row r="19" spans="1:15" x14ac:dyDescent="0.3">
      <c r="A19" s="4">
        <v>14</v>
      </c>
      <c r="B19" s="5" t="s">
        <v>87</v>
      </c>
      <c r="C19" s="4">
        <v>1</v>
      </c>
      <c r="D19" s="4" t="s">
        <v>88</v>
      </c>
      <c r="E19" s="5" t="s">
        <v>89</v>
      </c>
      <c r="F19" s="4" t="s">
        <v>29</v>
      </c>
      <c r="G19" s="4" t="s">
        <v>90</v>
      </c>
      <c r="H19" s="4" t="s">
        <v>91</v>
      </c>
      <c r="I19" s="6" t="s">
        <v>24</v>
      </c>
      <c r="J19" s="4">
        <v>90147</v>
      </c>
      <c r="K19" s="8">
        <v>0.88139000000000001</v>
      </c>
      <c r="L19" s="4">
        <v>10</v>
      </c>
      <c r="M19" s="4">
        <f t="shared" si="0"/>
        <v>10</v>
      </c>
      <c r="N19" s="8">
        <f t="shared" si="1"/>
        <v>8.8139000000000003</v>
      </c>
      <c r="O19" s="5" t="s">
        <v>92</v>
      </c>
    </row>
    <row r="20" spans="1:15" x14ac:dyDescent="0.3">
      <c r="A20" s="4">
        <v>15</v>
      </c>
      <c r="B20" s="5" t="s">
        <v>93</v>
      </c>
      <c r="C20" s="4">
        <v>2</v>
      </c>
      <c r="D20" s="4" t="s">
        <v>94</v>
      </c>
      <c r="E20" s="5" t="s">
        <v>95</v>
      </c>
      <c r="F20" s="4" t="s">
        <v>68</v>
      </c>
      <c r="G20" s="4" t="s">
        <v>22</v>
      </c>
      <c r="H20" s="4" t="s">
        <v>96</v>
      </c>
      <c r="I20" s="6" t="s">
        <v>24</v>
      </c>
      <c r="J20" s="4">
        <v>5273</v>
      </c>
      <c r="K20" s="8">
        <v>1.6654500000000001</v>
      </c>
      <c r="L20" s="4">
        <v>5</v>
      </c>
      <c r="M20" s="4">
        <f t="shared" si="0"/>
        <v>5</v>
      </c>
      <c r="N20" s="8">
        <f t="shared" si="1"/>
        <v>8.3272500000000012</v>
      </c>
      <c r="O20" s="5"/>
    </row>
    <row r="21" spans="1:15" ht="26.4" x14ac:dyDescent="0.3">
      <c r="A21" s="4">
        <v>16</v>
      </c>
      <c r="B21" s="5" t="s">
        <v>97</v>
      </c>
      <c r="C21" s="4">
        <v>1</v>
      </c>
      <c r="D21" s="4" t="s">
        <v>98</v>
      </c>
      <c r="E21" s="5" t="s">
        <v>99</v>
      </c>
      <c r="F21" s="4" t="s">
        <v>21</v>
      </c>
      <c r="G21" s="4" t="s">
        <v>22</v>
      </c>
      <c r="H21" s="4" t="s">
        <v>100</v>
      </c>
      <c r="I21" s="6" t="s">
        <v>24</v>
      </c>
      <c r="J21" s="7">
        <v>0</v>
      </c>
      <c r="K21" s="8">
        <v>11.815899999999999</v>
      </c>
      <c r="L21" s="4">
        <v>1</v>
      </c>
      <c r="M21" s="4">
        <f t="shared" si="0"/>
        <v>2</v>
      </c>
      <c r="N21" s="8">
        <f t="shared" si="1"/>
        <v>23.631799999999998</v>
      </c>
      <c r="O21" s="5" t="s">
        <v>101</v>
      </c>
    </row>
    <row r="22" spans="1:15" x14ac:dyDescent="0.3">
      <c r="A22" s="4">
        <v>17</v>
      </c>
      <c r="B22" s="5" t="s">
        <v>102</v>
      </c>
      <c r="C22" s="4">
        <v>2</v>
      </c>
      <c r="D22" s="4" t="s">
        <v>103</v>
      </c>
      <c r="E22" s="5" t="s">
        <v>104</v>
      </c>
      <c r="F22" s="4" t="s">
        <v>29</v>
      </c>
      <c r="G22" s="4" t="s">
        <v>43</v>
      </c>
      <c r="H22" s="4" t="s">
        <v>105</v>
      </c>
      <c r="I22" s="6" t="s">
        <v>24</v>
      </c>
      <c r="J22" s="4">
        <v>171079</v>
      </c>
      <c r="K22" s="8">
        <v>0.32833000000000001</v>
      </c>
      <c r="L22" s="4">
        <v>20</v>
      </c>
      <c r="M22" s="4">
        <f t="shared" si="0"/>
        <v>20</v>
      </c>
      <c r="N22" s="8">
        <f t="shared" si="1"/>
        <v>6.5666000000000002</v>
      </c>
      <c r="O22" s="5" t="s">
        <v>106</v>
      </c>
    </row>
    <row r="23" spans="1:15" ht="26.4" x14ac:dyDescent="0.3">
      <c r="A23" s="4">
        <v>18</v>
      </c>
      <c r="B23" s="5" t="s">
        <v>107</v>
      </c>
      <c r="C23" s="4">
        <v>1</v>
      </c>
      <c r="D23" s="4" t="s">
        <v>108</v>
      </c>
      <c r="E23" s="5" t="s">
        <v>109</v>
      </c>
      <c r="F23" s="4" t="s">
        <v>29</v>
      </c>
      <c r="G23" s="4" t="s">
        <v>43</v>
      </c>
      <c r="H23" s="4" t="s">
        <v>110</v>
      </c>
      <c r="I23" s="6" t="s">
        <v>24</v>
      </c>
      <c r="J23" s="7">
        <v>0</v>
      </c>
      <c r="K23" s="8">
        <v>0.32833000000000001</v>
      </c>
      <c r="L23" s="4">
        <v>20</v>
      </c>
      <c r="M23" s="4">
        <f t="shared" si="0"/>
        <v>20</v>
      </c>
      <c r="N23" s="8">
        <f t="shared" si="1"/>
        <v>6.5666000000000002</v>
      </c>
      <c r="O23" s="5" t="s">
        <v>111</v>
      </c>
    </row>
    <row r="24" spans="1:15" x14ac:dyDescent="0.3">
      <c r="A24" s="4">
        <v>19</v>
      </c>
      <c r="B24" s="5" t="s">
        <v>112</v>
      </c>
      <c r="C24" s="4">
        <v>1</v>
      </c>
      <c r="D24" s="4" t="s">
        <v>113</v>
      </c>
      <c r="E24" s="5" t="s">
        <v>114</v>
      </c>
      <c r="F24" s="4" t="s">
        <v>21</v>
      </c>
      <c r="G24" s="4" t="s">
        <v>115</v>
      </c>
      <c r="H24" s="4" t="s">
        <v>116</v>
      </c>
      <c r="I24" s="6" t="s">
        <v>24</v>
      </c>
      <c r="J24" s="4">
        <v>9</v>
      </c>
      <c r="K24" s="8">
        <v>59.221800000000002</v>
      </c>
      <c r="L24" s="4">
        <v>1</v>
      </c>
      <c r="M24" s="4">
        <f t="shared" si="0"/>
        <v>2</v>
      </c>
      <c r="N24" s="8">
        <f t="shared" si="1"/>
        <v>118.4436</v>
      </c>
      <c r="O24" s="5" t="s">
        <v>117</v>
      </c>
    </row>
    <row r="25" spans="1:15" x14ac:dyDescent="0.3">
      <c r="A25" s="4">
        <v>20</v>
      </c>
      <c r="B25" s="5" t="s">
        <v>118</v>
      </c>
      <c r="C25" s="4">
        <v>2</v>
      </c>
      <c r="D25" s="4" t="s">
        <v>119</v>
      </c>
      <c r="E25" s="5" t="s">
        <v>120</v>
      </c>
      <c r="F25" s="4" t="s">
        <v>121</v>
      </c>
      <c r="G25" s="4" t="s">
        <v>122</v>
      </c>
      <c r="H25" s="4" t="s">
        <v>123</v>
      </c>
      <c r="I25" s="6" t="s">
        <v>24</v>
      </c>
      <c r="J25" s="4">
        <v>21596</v>
      </c>
      <c r="K25" s="8">
        <v>61.2682</v>
      </c>
      <c r="L25" s="4">
        <v>1</v>
      </c>
      <c r="M25" s="4">
        <f t="shared" si="0"/>
        <v>4</v>
      </c>
      <c r="N25" s="8">
        <f t="shared" si="1"/>
        <v>245.0728</v>
      </c>
      <c r="O25" s="5" t="s">
        <v>124</v>
      </c>
    </row>
    <row r="26" spans="1:15" ht="39.6" x14ac:dyDescent="0.3">
      <c r="A26" s="4">
        <v>21</v>
      </c>
      <c r="B26" s="5" t="s">
        <v>125</v>
      </c>
      <c r="C26" s="4">
        <v>17</v>
      </c>
      <c r="D26" s="4" t="s">
        <v>126</v>
      </c>
      <c r="E26" s="5" t="s">
        <v>127</v>
      </c>
      <c r="F26" s="4" t="s">
        <v>128</v>
      </c>
      <c r="G26" s="4" t="s">
        <v>22</v>
      </c>
      <c r="H26" s="4" t="s">
        <v>129</v>
      </c>
      <c r="I26" s="6" t="s">
        <v>24</v>
      </c>
      <c r="J26" s="4">
        <v>8200</v>
      </c>
      <c r="K26" s="8">
        <v>0.72211999999999998</v>
      </c>
      <c r="L26" s="4">
        <v>10</v>
      </c>
      <c r="M26" s="4">
        <f t="shared" si="0"/>
        <v>34</v>
      </c>
      <c r="N26" s="8">
        <f t="shared" si="1"/>
        <v>24.55208</v>
      </c>
      <c r="O26" s="5" t="s">
        <v>130</v>
      </c>
    </row>
    <row r="27" spans="1:15" x14ac:dyDescent="0.3">
      <c r="A27" s="4">
        <v>22</v>
      </c>
      <c r="B27" s="5" t="s">
        <v>131</v>
      </c>
      <c r="C27" s="4">
        <v>1</v>
      </c>
      <c r="D27" s="4" t="s">
        <v>132</v>
      </c>
      <c r="E27" s="5" t="s">
        <v>133</v>
      </c>
      <c r="F27" s="4" t="s">
        <v>134</v>
      </c>
      <c r="G27" s="4" t="s">
        <v>135</v>
      </c>
      <c r="H27" s="4" t="s">
        <v>136</v>
      </c>
      <c r="I27" s="6" t="s">
        <v>24</v>
      </c>
      <c r="J27" s="7">
        <v>0</v>
      </c>
      <c r="K27" s="8">
        <v>3.1537199999999999</v>
      </c>
      <c r="L27" s="4">
        <v>2</v>
      </c>
      <c r="M27" s="4">
        <f t="shared" si="0"/>
        <v>2</v>
      </c>
      <c r="N27" s="8">
        <f t="shared" si="1"/>
        <v>6.3074399999999997</v>
      </c>
      <c r="O27" s="5" t="s">
        <v>137</v>
      </c>
    </row>
    <row r="28" spans="1:15" ht="26.4" x14ac:dyDescent="0.3">
      <c r="A28" s="4">
        <v>23</v>
      </c>
      <c r="B28" s="5" t="s">
        <v>138</v>
      </c>
      <c r="C28" s="4">
        <v>1</v>
      </c>
      <c r="D28" s="4" t="s">
        <v>139</v>
      </c>
      <c r="E28" s="5" t="s">
        <v>140</v>
      </c>
      <c r="F28" s="4" t="s">
        <v>141</v>
      </c>
      <c r="G28" s="4" t="s">
        <v>142</v>
      </c>
      <c r="H28" s="4" t="s">
        <v>143</v>
      </c>
      <c r="I28" s="6" t="s">
        <v>24</v>
      </c>
      <c r="J28" s="4">
        <v>5817</v>
      </c>
      <c r="K28" s="8">
        <v>1.09266</v>
      </c>
      <c r="L28" s="4">
        <v>5</v>
      </c>
      <c r="M28" s="4">
        <f t="shared" si="0"/>
        <v>5</v>
      </c>
      <c r="N28" s="8">
        <f t="shared" si="1"/>
        <v>5.4633000000000003</v>
      </c>
      <c r="O28" s="5" t="s">
        <v>144</v>
      </c>
    </row>
    <row r="29" spans="1:15" x14ac:dyDescent="0.3">
      <c r="A29" s="4">
        <v>24</v>
      </c>
      <c r="B29" s="5" t="s">
        <v>145</v>
      </c>
      <c r="C29" s="4">
        <v>1</v>
      </c>
      <c r="D29" s="4" t="s">
        <v>146</v>
      </c>
      <c r="E29" s="5" t="s">
        <v>147</v>
      </c>
      <c r="F29" s="4" t="s">
        <v>148</v>
      </c>
      <c r="G29" s="4" t="s">
        <v>149</v>
      </c>
      <c r="H29" s="4" t="s">
        <v>150</v>
      </c>
      <c r="I29" s="6" t="s">
        <v>24</v>
      </c>
      <c r="J29" s="4">
        <v>3682437</v>
      </c>
      <c r="K29" s="8">
        <v>0.39057999999999998</v>
      </c>
      <c r="L29" s="4">
        <v>20</v>
      </c>
      <c r="M29" s="4">
        <f t="shared" si="0"/>
        <v>20</v>
      </c>
      <c r="N29" s="8">
        <f t="shared" si="1"/>
        <v>7.8115999999999994</v>
      </c>
      <c r="O29" s="5" t="s">
        <v>151</v>
      </c>
    </row>
    <row r="30" spans="1:15" ht="39.6" x14ac:dyDescent="0.3">
      <c r="A30" s="4">
        <v>25</v>
      </c>
      <c r="B30" s="5" t="s">
        <v>152</v>
      </c>
      <c r="C30" s="4">
        <v>16</v>
      </c>
      <c r="D30" s="4" t="s">
        <v>153</v>
      </c>
      <c r="E30" s="5" t="s">
        <v>154</v>
      </c>
      <c r="F30" s="4" t="s">
        <v>155</v>
      </c>
      <c r="G30" s="4" t="s">
        <v>156</v>
      </c>
      <c r="H30" s="4" t="s">
        <v>157</v>
      </c>
      <c r="I30" s="6" t="s">
        <v>24</v>
      </c>
      <c r="J30" s="4">
        <v>94897</v>
      </c>
      <c r="K30" s="8">
        <v>1.6892199999999999</v>
      </c>
      <c r="L30" s="4">
        <v>5</v>
      </c>
      <c r="M30" s="4">
        <f t="shared" si="0"/>
        <v>32</v>
      </c>
      <c r="N30" s="8">
        <f t="shared" si="1"/>
        <v>54.055039999999998</v>
      </c>
      <c r="O30" s="5" t="s">
        <v>158</v>
      </c>
    </row>
    <row r="31" spans="1:15" ht="39.6" x14ac:dyDescent="0.3">
      <c r="A31" s="4">
        <v>26</v>
      </c>
      <c r="B31" s="5" t="s">
        <v>159</v>
      </c>
      <c r="C31" s="4">
        <v>16</v>
      </c>
      <c r="D31" s="4" t="s">
        <v>160</v>
      </c>
      <c r="E31" s="5" t="s">
        <v>161</v>
      </c>
      <c r="F31" s="4" t="s">
        <v>162</v>
      </c>
      <c r="G31" s="4" t="s">
        <v>163</v>
      </c>
      <c r="H31" s="4" t="s">
        <v>164</v>
      </c>
      <c r="I31" s="6" t="s">
        <v>24</v>
      </c>
      <c r="J31" s="4">
        <v>180352</v>
      </c>
      <c r="K31" s="8">
        <v>0.80488999999999999</v>
      </c>
      <c r="L31" s="4">
        <v>25</v>
      </c>
      <c r="M31" s="4">
        <f t="shared" si="0"/>
        <v>32</v>
      </c>
      <c r="N31" s="8">
        <f t="shared" si="1"/>
        <v>25.75648</v>
      </c>
      <c r="O31" s="5" t="s">
        <v>165</v>
      </c>
    </row>
    <row r="32" spans="1:15" ht="26.4" x14ac:dyDescent="0.3">
      <c r="A32" s="4">
        <v>27</v>
      </c>
      <c r="B32" s="5" t="s">
        <v>166</v>
      </c>
      <c r="C32" s="4">
        <v>1</v>
      </c>
      <c r="D32" s="4" t="s">
        <v>167</v>
      </c>
      <c r="E32" s="5" t="s">
        <v>168</v>
      </c>
      <c r="F32" s="4" t="s">
        <v>169</v>
      </c>
      <c r="G32" s="4" t="s">
        <v>170</v>
      </c>
      <c r="H32" s="4" t="s">
        <v>171</v>
      </c>
      <c r="I32" s="6" t="s">
        <v>24</v>
      </c>
      <c r="J32" s="4">
        <v>6894</v>
      </c>
      <c r="K32" s="8">
        <v>4.3184699999999996</v>
      </c>
      <c r="L32" s="4">
        <v>5</v>
      </c>
      <c r="M32" s="4">
        <f t="shared" si="0"/>
        <v>5</v>
      </c>
      <c r="N32" s="8">
        <f t="shared" si="1"/>
        <v>21.592349999999996</v>
      </c>
      <c r="O32" s="5" t="s">
        <v>172</v>
      </c>
    </row>
    <row r="33" spans="1:15" x14ac:dyDescent="0.3">
      <c r="A33" s="4">
        <v>28</v>
      </c>
      <c r="B33" s="5" t="s">
        <v>173</v>
      </c>
      <c r="C33" s="4">
        <v>1</v>
      </c>
      <c r="D33" s="4" t="s">
        <v>174</v>
      </c>
      <c r="E33" s="5" t="s">
        <v>175</v>
      </c>
      <c r="F33" s="4" t="s">
        <v>176</v>
      </c>
      <c r="G33" s="4" t="s">
        <v>177</v>
      </c>
      <c r="H33" s="4" t="s">
        <v>178</v>
      </c>
      <c r="I33" s="6" t="s">
        <v>24</v>
      </c>
      <c r="J33" s="4">
        <v>1802</v>
      </c>
      <c r="K33" s="8">
        <v>43.4955</v>
      </c>
      <c r="L33" s="4">
        <v>1</v>
      </c>
      <c r="M33" s="4">
        <f t="shared" si="0"/>
        <v>2</v>
      </c>
      <c r="N33" s="8">
        <f t="shared" si="1"/>
        <v>86.991</v>
      </c>
      <c r="O33" s="5" t="s">
        <v>179</v>
      </c>
    </row>
    <row r="34" spans="1:15" x14ac:dyDescent="0.3">
      <c r="A34" s="4">
        <v>29</v>
      </c>
      <c r="B34" s="5" t="s">
        <v>180</v>
      </c>
      <c r="C34" s="4">
        <v>1</v>
      </c>
      <c r="D34" s="4" t="s">
        <v>181</v>
      </c>
      <c r="E34" s="5" t="s">
        <v>182</v>
      </c>
      <c r="F34" s="4" t="s">
        <v>183</v>
      </c>
      <c r="G34" s="4" t="s">
        <v>177</v>
      </c>
      <c r="H34" s="4" t="s">
        <v>184</v>
      </c>
      <c r="I34" s="6" t="s">
        <v>24</v>
      </c>
      <c r="J34" s="4">
        <v>820</v>
      </c>
      <c r="K34" s="8">
        <v>168.233</v>
      </c>
      <c r="L34" s="4">
        <v>1</v>
      </c>
      <c r="M34" s="4">
        <f t="shared" si="0"/>
        <v>2</v>
      </c>
      <c r="N34" s="8">
        <f t="shared" si="1"/>
        <v>336.46600000000001</v>
      </c>
      <c r="O34" s="5" t="s">
        <v>185</v>
      </c>
    </row>
    <row r="35" spans="1:15" x14ac:dyDescent="0.3">
      <c r="A35" s="4">
        <v>30</v>
      </c>
      <c r="B35" s="5" t="s">
        <v>186</v>
      </c>
      <c r="C35" s="4">
        <v>1</v>
      </c>
      <c r="D35" s="4" t="s">
        <v>187</v>
      </c>
      <c r="E35" s="5" t="s">
        <v>188</v>
      </c>
      <c r="F35" s="4" t="s">
        <v>189</v>
      </c>
      <c r="G35" s="4" t="s">
        <v>190</v>
      </c>
      <c r="H35" s="4" t="s">
        <v>191</v>
      </c>
      <c r="I35" s="6" t="s">
        <v>24</v>
      </c>
      <c r="J35" s="4">
        <v>848</v>
      </c>
      <c r="K35" s="8">
        <v>10.672499999999999</v>
      </c>
      <c r="L35" s="4">
        <v>1</v>
      </c>
      <c r="M35" s="4">
        <f t="shared" si="0"/>
        <v>2</v>
      </c>
      <c r="N35" s="8">
        <f t="shared" si="1"/>
        <v>21.344999999999999</v>
      </c>
      <c r="O35" s="5" t="s">
        <v>192</v>
      </c>
    </row>
    <row r="36" spans="1:15" x14ac:dyDescent="0.3">
      <c r="A36" s="4">
        <v>31</v>
      </c>
      <c r="B36" s="5" t="s">
        <v>193</v>
      </c>
      <c r="C36" s="4">
        <v>1</v>
      </c>
      <c r="D36" s="4" t="s">
        <v>194</v>
      </c>
      <c r="E36" s="5" t="s">
        <v>195</v>
      </c>
      <c r="F36" s="4" t="s">
        <v>196</v>
      </c>
      <c r="G36" s="4" t="s">
        <v>190</v>
      </c>
      <c r="H36" s="4" t="s">
        <v>197</v>
      </c>
      <c r="I36" s="6" t="s">
        <v>24</v>
      </c>
      <c r="J36" s="4">
        <v>239</v>
      </c>
      <c r="K36" s="8">
        <v>13.5929</v>
      </c>
      <c r="L36" s="4">
        <v>1</v>
      </c>
      <c r="M36" s="4">
        <f t="shared" si="0"/>
        <v>2</v>
      </c>
      <c r="N36" s="8">
        <f t="shared" si="1"/>
        <v>27.1858</v>
      </c>
      <c r="O36" s="5" t="s">
        <v>198</v>
      </c>
    </row>
    <row r="37" spans="1:15" x14ac:dyDescent="0.3">
      <c r="A37" s="4">
        <v>32</v>
      </c>
      <c r="B37" s="5" t="s">
        <v>199</v>
      </c>
      <c r="C37" s="4">
        <v>1</v>
      </c>
      <c r="D37" s="4" t="s">
        <v>200</v>
      </c>
      <c r="E37" s="5" t="s">
        <v>201</v>
      </c>
      <c r="F37" s="4" t="s">
        <v>202</v>
      </c>
      <c r="G37" s="4" t="s">
        <v>190</v>
      </c>
      <c r="H37" s="4" t="s">
        <v>203</v>
      </c>
      <c r="I37" s="6" t="s">
        <v>24</v>
      </c>
      <c r="J37" s="4">
        <v>2384</v>
      </c>
      <c r="K37" s="8">
        <v>6.4193199999999999</v>
      </c>
      <c r="L37" s="4">
        <v>1</v>
      </c>
      <c r="M37" s="4">
        <f t="shared" si="0"/>
        <v>2</v>
      </c>
      <c r="N37" s="8">
        <f t="shared" si="1"/>
        <v>12.83864</v>
      </c>
      <c r="O37" s="5" t="s">
        <v>204</v>
      </c>
    </row>
    <row r="38" spans="1:15" x14ac:dyDescent="0.3">
      <c r="A38" s="4">
        <v>33</v>
      </c>
      <c r="B38" s="5" t="s">
        <v>205</v>
      </c>
      <c r="C38" s="4">
        <v>1</v>
      </c>
      <c r="D38" s="4" t="s">
        <v>206</v>
      </c>
      <c r="E38" s="5" t="s">
        <v>207</v>
      </c>
      <c r="F38" s="4" t="s">
        <v>208</v>
      </c>
      <c r="G38" s="4" t="s">
        <v>190</v>
      </c>
      <c r="H38" s="4" t="s">
        <v>209</v>
      </c>
      <c r="I38" s="6" t="s">
        <v>24</v>
      </c>
      <c r="J38" s="4">
        <v>2659</v>
      </c>
      <c r="K38" s="8">
        <v>3.20966</v>
      </c>
      <c r="L38" s="4">
        <v>1</v>
      </c>
      <c r="M38" s="4">
        <f t="shared" ref="M38:M69" si="2">IF(L38="",C38*$C$3,MAX(C38*$C$3,L38))</f>
        <v>2</v>
      </c>
      <c r="N38" s="8">
        <f t="shared" ref="N38:N69" si="3">IF(K38="","",K38*M38)</f>
        <v>6.4193199999999999</v>
      </c>
      <c r="O38" s="5" t="s">
        <v>210</v>
      </c>
    </row>
    <row r="39" spans="1:15" ht="26.4" x14ac:dyDescent="0.3">
      <c r="A39" s="4">
        <v>34</v>
      </c>
      <c r="B39" s="5" t="s">
        <v>211</v>
      </c>
      <c r="C39" s="4">
        <v>1</v>
      </c>
      <c r="D39" s="4" t="s">
        <v>212</v>
      </c>
      <c r="E39" s="5" t="s">
        <v>213</v>
      </c>
      <c r="F39" s="4" t="s">
        <v>214</v>
      </c>
      <c r="G39" s="4" t="s">
        <v>190</v>
      </c>
      <c r="H39" s="4" t="s">
        <v>215</v>
      </c>
      <c r="I39" s="6" t="s">
        <v>24</v>
      </c>
      <c r="J39" s="7">
        <v>0</v>
      </c>
      <c r="K39" s="8">
        <v>3.20966</v>
      </c>
      <c r="L39" s="4">
        <v>1</v>
      </c>
      <c r="M39" s="4">
        <f t="shared" si="2"/>
        <v>2</v>
      </c>
      <c r="N39" s="8">
        <f t="shared" si="3"/>
        <v>6.4193199999999999</v>
      </c>
      <c r="O39" s="5" t="s">
        <v>216</v>
      </c>
    </row>
    <row r="40" spans="1:15" x14ac:dyDescent="0.3">
      <c r="A40" s="4">
        <v>35</v>
      </c>
      <c r="B40" s="5" t="s">
        <v>217</v>
      </c>
      <c r="C40" s="4">
        <v>1</v>
      </c>
      <c r="D40" s="4" t="s">
        <v>218</v>
      </c>
      <c r="E40" s="5" t="s">
        <v>219</v>
      </c>
      <c r="F40" s="4" t="s">
        <v>220</v>
      </c>
      <c r="G40" s="4" t="s">
        <v>221</v>
      </c>
      <c r="H40" s="4" t="s">
        <v>222</v>
      </c>
      <c r="I40" s="6" t="s">
        <v>24</v>
      </c>
      <c r="J40" s="7">
        <v>0</v>
      </c>
      <c r="K40" s="8">
        <v>2.1779799999999998</v>
      </c>
      <c r="L40" s="4">
        <v>1</v>
      </c>
      <c r="M40" s="4">
        <f t="shared" si="2"/>
        <v>2</v>
      </c>
      <c r="N40" s="8">
        <f t="shared" si="3"/>
        <v>4.3559599999999996</v>
      </c>
      <c r="O40" s="5" t="s">
        <v>223</v>
      </c>
    </row>
    <row r="41" spans="1:15" ht="26.4" x14ac:dyDescent="0.3">
      <c r="A41" s="4">
        <v>36</v>
      </c>
      <c r="B41" s="5" t="s">
        <v>224</v>
      </c>
      <c r="C41" s="4">
        <v>2</v>
      </c>
      <c r="D41" s="4" t="s">
        <v>225</v>
      </c>
      <c r="E41" s="5" t="s">
        <v>226</v>
      </c>
      <c r="F41" s="4" t="s">
        <v>227</v>
      </c>
      <c r="G41" s="4" t="s">
        <v>228</v>
      </c>
      <c r="H41" s="4" t="s">
        <v>229</v>
      </c>
      <c r="I41" s="6" t="s">
        <v>24</v>
      </c>
      <c r="J41" s="4">
        <v>3761</v>
      </c>
      <c r="K41" s="8">
        <v>4.8144900000000002</v>
      </c>
      <c r="L41" s="4">
        <v>2</v>
      </c>
      <c r="M41" s="4">
        <f t="shared" si="2"/>
        <v>4</v>
      </c>
      <c r="N41" s="8">
        <f t="shared" si="3"/>
        <v>19.257960000000001</v>
      </c>
      <c r="O41" s="5" t="s">
        <v>230</v>
      </c>
    </row>
    <row r="42" spans="1:15" x14ac:dyDescent="0.3">
      <c r="A42" s="4">
        <v>37</v>
      </c>
      <c r="B42" s="5" t="s">
        <v>231</v>
      </c>
      <c r="C42" s="4">
        <v>2</v>
      </c>
      <c r="D42" s="4" t="s">
        <v>232</v>
      </c>
      <c r="E42" s="5" t="s">
        <v>233</v>
      </c>
      <c r="F42" s="4" t="s">
        <v>234</v>
      </c>
      <c r="G42" s="4" t="s">
        <v>190</v>
      </c>
      <c r="H42" s="4" t="s">
        <v>235</v>
      </c>
      <c r="I42" s="6" t="s">
        <v>24</v>
      </c>
      <c r="J42" s="4">
        <v>1914</v>
      </c>
      <c r="K42" s="8">
        <v>15.0281</v>
      </c>
      <c r="L42" s="4">
        <v>1</v>
      </c>
      <c r="M42" s="4">
        <f t="shared" si="2"/>
        <v>4</v>
      </c>
      <c r="N42" s="8">
        <f t="shared" si="3"/>
        <v>60.112400000000001</v>
      </c>
      <c r="O42" s="5" t="s">
        <v>236</v>
      </c>
    </row>
    <row r="43" spans="1:15" x14ac:dyDescent="0.3">
      <c r="A43" s="4">
        <v>38</v>
      </c>
      <c r="B43" s="5" t="s">
        <v>237</v>
      </c>
      <c r="C43" s="4">
        <v>2</v>
      </c>
      <c r="D43" s="4" t="s">
        <v>238</v>
      </c>
      <c r="E43" s="5" t="s">
        <v>239</v>
      </c>
      <c r="F43" s="4" t="s">
        <v>240</v>
      </c>
      <c r="G43" s="4" t="s">
        <v>228</v>
      </c>
      <c r="H43" s="4" t="s">
        <v>241</v>
      </c>
      <c r="I43" s="6" t="s">
        <v>24</v>
      </c>
      <c r="J43" s="4">
        <v>562</v>
      </c>
      <c r="K43" s="8">
        <v>6.5983299999999998</v>
      </c>
      <c r="L43" s="4">
        <v>1</v>
      </c>
      <c r="M43" s="4">
        <f t="shared" si="2"/>
        <v>4</v>
      </c>
      <c r="N43" s="8">
        <f t="shared" si="3"/>
        <v>26.393319999999999</v>
      </c>
      <c r="O43" s="5" t="s">
        <v>242</v>
      </c>
    </row>
    <row r="44" spans="1:15" x14ac:dyDescent="0.3">
      <c r="A44" s="4">
        <v>39</v>
      </c>
      <c r="B44" s="5" t="s">
        <v>243</v>
      </c>
      <c r="C44" s="4">
        <v>1</v>
      </c>
      <c r="D44" s="4" t="s">
        <v>244</v>
      </c>
      <c r="E44" s="5" t="s">
        <v>245</v>
      </c>
      <c r="F44" s="4" t="s">
        <v>246</v>
      </c>
      <c r="G44" s="4" t="s">
        <v>247</v>
      </c>
      <c r="H44" s="4" t="s">
        <v>248</v>
      </c>
      <c r="I44" s="6" t="s">
        <v>24</v>
      </c>
      <c r="J44" s="4">
        <v>5357</v>
      </c>
      <c r="K44" s="8">
        <v>15.2484</v>
      </c>
      <c r="L44" s="4">
        <v>1</v>
      </c>
      <c r="M44" s="4">
        <f t="shared" si="2"/>
        <v>2</v>
      </c>
      <c r="N44" s="8">
        <f t="shared" si="3"/>
        <v>30.4968</v>
      </c>
      <c r="O44" s="5"/>
    </row>
    <row r="45" spans="1:15" x14ac:dyDescent="0.3">
      <c r="A45" s="4">
        <v>40</v>
      </c>
      <c r="B45" s="5" t="s">
        <v>249</v>
      </c>
      <c r="C45" s="4">
        <v>1</v>
      </c>
      <c r="D45" s="4" t="s">
        <v>160</v>
      </c>
      <c r="E45" s="5" t="s">
        <v>161</v>
      </c>
      <c r="F45" s="4" t="s">
        <v>250</v>
      </c>
      <c r="G45" s="4" t="s">
        <v>251</v>
      </c>
      <c r="H45" s="4" t="s">
        <v>252</v>
      </c>
      <c r="I45" s="6" t="s">
        <v>24</v>
      </c>
      <c r="J45" s="4">
        <v>43</v>
      </c>
      <c r="K45" s="8">
        <v>7.72567</v>
      </c>
      <c r="L45" s="4">
        <v>1</v>
      </c>
      <c r="M45" s="4">
        <f t="shared" si="2"/>
        <v>2</v>
      </c>
      <c r="N45" s="8">
        <f t="shared" si="3"/>
        <v>15.45134</v>
      </c>
      <c r="O45" s="5" t="s">
        <v>253</v>
      </c>
    </row>
    <row r="46" spans="1:15" ht="26.4" x14ac:dyDescent="0.3">
      <c r="A46" s="4">
        <v>41</v>
      </c>
      <c r="B46" s="5" t="s">
        <v>254</v>
      </c>
      <c r="C46" s="4">
        <v>1</v>
      </c>
      <c r="D46" s="4" t="s">
        <v>255</v>
      </c>
      <c r="E46" s="5" t="s">
        <v>256</v>
      </c>
      <c r="F46" s="4" t="s">
        <v>257</v>
      </c>
      <c r="G46" s="4" t="s">
        <v>258</v>
      </c>
      <c r="H46" s="4" t="s">
        <v>255</v>
      </c>
      <c r="I46" s="4"/>
      <c r="J46" s="7"/>
      <c r="K46" s="8"/>
      <c r="L46" s="4"/>
      <c r="M46" s="4">
        <f t="shared" si="2"/>
        <v>2</v>
      </c>
      <c r="N46" s="8" t="str">
        <f t="shared" si="3"/>
        <v/>
      </c>
      <c r="O46" s="5" t="s">
        <v>259</v>
      </c>
    </row>
    <row r="47" spans="1:15" ht="26.4" x14ac:dyDescent="0.3">
      <c r="A47" s="4">
        <v>42</v>
      </c>
      <c r="B47" s="5" t="s">
        <v>260</v>
      </c>
      <c r="C47" s="4">
        <v>16</v>
      </c>
      <c r="D47" s="4" t="s">
        <v>261</v>
      </c>
      <c r="E47" s="5" t="s">
        <v>262</v>
      </c>
      <c r="F47" s="4" t="s">
        <v>263</v>
      </c>
      <c r="G47" s="4" t="s">
        <v>264</v>
      </c>
      <c r="H47" s="4" t="s">
        <v>265</v>
      </c>
      <c r="I47" s="6" t="s">
        <v>24</v>
      </c>
      <c r="J47" s="4">
        <v>9009</v>
      </c>
      <c r="K47" s="8">
        <v>13.9152</v>
      </c>
      <c r="L47" s="4">
        <v>1</v>
      </c>
      <c r="M47" s="4">
        <f t="shared" si="2"/>
        <v>32</v>
      </c>
      <c r="N47" s="8">
        <f t="shared" si="3"/>
        <v>445.28640000000001</v>
      </c>
      <c r="O47" s="5" t="s">
        <v>266</v>
      </c>
    </row>
    <row r="48" spans="1:15" x14ac:dyDescent="0.3">
      <c r="A48" s="4">
        <v>43</v>
      </c>
      <c r="B48" s="5" t="s">
        <v>267</v>
      </c>
      <c r="C48" s="4">
        <v>8</v>
      </c>
      <c r="D48" s="4" t="s">
        <v>268</v>
      </c>
      <c r="E48" s="5" t="s">
        <v>269</v>
      </c>
      <c r="F48" s="4" t="s">
        <v>270</v>
      </c>
      <c r="G48" s="4" t="s">
        <v>271</v>
      </c>
      <c r="H48" s="4" t="s">
        <v>272</v>
      </c>
      <c r="I48" s="6" t="s">
        <v>24</v>
      </c>
      <c r="J48" s="4">
        <v>1146122</v>
      </c>
      <c r="K48" s="8">
        <v>7.5509999999999994E-2</v>
      </c>
      <c r="L48" s="4">
        <v>100</v>
      </c>
      <c r="M48" s="4">
        <f t="shared" si="2"/>
        <v>100</v>
      </c>
      <c r="N48" s="8">
        <f t="shared" si="3"/>
        <v>7.5509999999999993</v>
      </c>
      <c r="O48" s="5" t="s">
        <v>273</v>
      </c>
    </row>
    <row r="49" spans="1:15" x14ac:dyDescent="0.3">
      <c r="A49" s="4">
        <v>44</v>
      </c>
      <c r="B49" s="5" t="s">
        <v>274</v>
      </c>
      <c r="C49" s="4">
        <v>7</v>
      </c>
      <c r="D49" s="4" t="s">
        <v>275</v>
      </c>
      <c r="E49" s="5" t="s">
        <v>276</v>
      </c>
      <c r="F49" s="4" t="s">
        <v>270</v>
      </c>
      <c r="G49" s="4" t="s">
        <v>271</v>
      </c>
      <c r="H49" s="4" t="s">
        <v>277</v>
      </c>
      <c r="I49" s="6" t="s">
        <v>24</v>
      </c>
      <c r="J49" s="4">
        <v>20161</v>
      </c>
      <c r="K49" s="8">
        <v>8.9829999999999993E-2</v>
      </c>
      <c r="L49" s="4">
        <v>100</v>
      </c>
      <c r="M49" s="4">
        <f t="shared" si="2"/>
        <v>100</v>
      </c>
      <c r="N49" s="8">
        <f t="shared" si="3"/>
        <v>8.9829999999999988</v>
      </c>
      <c r="O49" s="5"/>
    </row>
    <row r="50" spans="1:15" x14ac:dyDescent="0.3">
      <c r="A50" s="4">
        <v>45</v>
      </c>
      <c r="B50" s="5" t="s">
        <v>278</v>
      </c>
      <c r="C50" s="4">
        <v>1</v>
      </c>
      <c r="D50" s="4" t="s">
        <v>279</v>
      </c>
      <c r="E50" s="5" t="s">
        <v>280</v>
      </c>
      <c r="F50" s="4" t="s">
        <v>281</v>
      </c>
      <c r="G50" s="4" t="s">
        <v>282</v>
      </c>
      <c r="H50" s="4" t="s">
        <v>283</v>
      </c>
      <c r="I50" s="6" t="s">
        <v>24</v>
      </c>
      <c r="J50" s="4">
        <v>2033</v>
      </c>
      <c r="K50" s="8">
        <v>57.274299999999997</v>
      </c>
      <c r="L50" s="4">
        <v>1</v>
      </c>
      <c r="M50" s="4">
        <f t="shared" si="2"/>
        <v>2</v>
      </c>
      <c r="N50" s="8">
        <f t="shared" si="3"/>
        <v>114.54859999999999</v>
      </c>
      <c r="O50" s="5" t="s">
        <v>284</v>
      </c>
    </row>
    <row r="51" spans="1:15" x14ac:dyDescent="0.3">
      <c r="A51" s="4">
        <v>46</v>
      </c>
      <c r="B51" s="5" t="s">
        <v>285</v>
      </c>
      <c r="C51" s="4">
        <v>3</v>
      </c>
      <c r="D51" s="4" t="s">
        <v>286</v>
      </c>
      <c r="E51" s="5" t="s">
        <v>287</v>
      </c>
      <c r="F51" s="4" t="s">
        <v>270</v>
      </c>
      <c r="G51" s="4" t="s">
        <v>43</v>
      </c>
      <c r="H51" s="4" t="s">
        <v>288</v>
      </c>
      <c r="I51" s="6" t="s">
        <v>24</v>
      </c>
      <c r="J51" s="4">
        <v>71755</v>
      </c>
      <c r="K51" s="8">
        <v>0.11197</v>
      </c>
      <c r="L51" s="4">
        <v>100</v>
      </c>
      <c r="M51" s="4">
        <f t="shared" si="2"/>
        <v>100</v>
      </c>
      <c r="N51" s="8">
        <f t="shared" si="3"/>
        <v>11.196999999999999</v>
      </c>
      <c r="O51" s="5"/>
    </row>
    <row r="52" spans="1:15" ht="39.6" x14ac:dyDescent="0.3">
      <c r="A52" s="4">
        <v>47</v>
      </c>
      <c r="B52" s="5" t="s">
        <v>289</v>
      </c>
      <c r="C52" s="4">
        <v>17</v>
      </c>
      <c r="D52" s="4" t="s">
        <v>290</v>
      </c>
      <c r="E52" s="5" t="s">
        <v>291</v>
      </c>
      <c r="F52" s="4" t="s">
        <v>292</v>
      </c>
      <c r="G52" s="4" t="s">
        <v>271</v>
      </c>
      <c r="H52" s="4" t="s">
        <v>293</v>
      </c>
      <c r="I52" s="6" t="s">
        <v>24</v>
      </c>
      <c r="J52" s="4">
        <v>2107</v>
      </c>
      <c r="K52" s="8">
        <v>8.9829999999999993E-2</v>
      </c>
      <c r="L52" s="4">
        <v>100</v>
      </c>
      <c r="M52" s="4">
        <f t="shared" si="2"/>
        <v>100</v>
      </c>
      <c r="N52" s="8">
        <f t="shared" si="3"/>
        <v>8.9829999999999988</v>
      </c>
      <c r="O52" s="5" t="s">
        <v>294</v>
      </c>
    </row>
    <row r="53" spans="1:15" x14ac:dyDescent="0.3">
      <c r="A53" s="4">
        <v>48</v>
      </c>
      <c r="B53" s="5" t="s">
        <v>295</v>
      </c>
      <c r="C53" s="4">
        <v>1</v>
      </c>
      <c r="D53" s="4" t="s">
        <v>296</v>
      </c>
      <c r="E53" s="5" t="s">
        <v>297</v>
      </c>
      <c r="F53" s="4" t="s">
        <v>162</v>
      </c>
      <c r="G53" s="4" t="s">
        <v>271</v>
      </c>
      <c r="H53" s="4" t="s">
        <v>298</v>
      </c>
      <c r="I53" s="6" t="s">
        <v>24</v>
      </c>
      <c r="J53" s="4">
        <v>12800</v>
      </c>
      <c r="K53" s="8">
        <v>8.9829999999999993E-2</v>
      </c>
      <c r="L53" s="4">
        <v>100</v>
      </c>
      <c r="M53" s="4">
        <f t="shared" si="2"/>
        <v>100</v>
      </c>
      <c r="N53" s="8">
        <f t="shared" si="3"/>
        <v>8.9829999999999988</v>
      </c>
      <c r="O53" s="5" t="s">
        <v>299</v>
      </c>
    </row>
    <row r="54" spans="1:15" x14ac:dyDescent="0.3">
      <c r="A54" s="4">
        <v>49</v>
      </c>
      <c r="B54" s="5" t="s">
        <v>300</v>
      </c>
      <c r="C54" s="4">
        <v>1</v>
      </c>
      <c r="D54" s="4" t="s">
        <v>301</v>
      </c>
      <c r="E54" s="5" t="s">
        <v>302</v>
      </c>
      <c r="F54" s="4" t="s">
        <v>270</v>
      </c>
      <c r="G54" s="4" t="s">
        <v>271</v>
      </c>
      <c r="H54" s="4" t="s">
        <v>303</v>
      </c>
      <c r="I54" s="6" t="s">
        <v>24</v>
      </c>
      <c r="J54" s="4">
        <v>196796</v>
      </c>
      <c r="K54" s="8">
        <v>8.9829999999999993E-2</v>
      </c>
      <c r="L54" s="4">
        <v>100</v>
      </c>
      <c r="M54" s="4">
        <f t="shared" si="2"/>
        <v>100</v>
      </c>
      <c r="N54" s="8">
        <f t="shared" si="3"/>
        <v>8.9829999999999988</v>
      </c>
      <c r="O54" s="5" t="s">
        <v>304</v>
      </c>
    </row>
    <row r="55" spans="1:15" x14ac:dyDescent="0.3">
      <c r="A55" s="4">
        <v>50</v>
      </c>
      <c r="B55" s="5" t="s">
        <v>305</v>
      </c>
      <c r="C55" s="4">
        <v>1</v>
      </c>
      <c r="D55" s="4" t="s">
        <v>306</v>
      </c>
      <c r="E55" s="5" t="s">
        <v>307</v>
      </c>
      <c r="F55" s="4" t="s">
        <v>270</v>
      </c>
      <c r="G55" s="4" t="s">
        <v>271</v>
      </c>
      <c r="H55" s="4" t="s">
        <v>308</v>
      </c>
      <c r="I55" s="6" t="s">
        <v>24</v>
      </c>
      <c r="J55" s="4">
        <v>133901</v>
      </c>
      <c r="K55" s="8">
        <v>8.9829999999999993E-2</v>
      </c>
      <c r="L55" s="4">
        <v>100</v>
      </c>
      <c r="M55" s="4">
        <f t="shared" si="2"/>
        <v>100</v>
      </c>
      <c r="N55" s="8">
        <f t="shared" si="3"/>
        <v>8.9829999999999988</v>
      </c>
      <c r="O55" s="5"/>
    </row>
    <row r="56" spans="1:15" x14ac:dyDescent="0.3">
      <c r="A56" s="4">
        <v>51</v>
      </c>
      <c r="B56" s="5" t="s">
        <v>309</v>
      </c>
      <c r="C56" s="4">
        <v>2</v>
      </c>
      <c r="D56" s="4" t="s">
        <v>310</v>
      </c>
      <c r="E56" s="5" t="s">
        <v>311</v>
      </c>
      <c r="F56" s="4" t="s">
        <v>270</v>
      </c>
      <c r="G56" s="4" t="s">
        <v>271</v>
      </c>
      <c r="H56" s="4" t="s">
        <v>312</v>
      </c>
      <c r="I56" s="6" t="s">
        <v>24</v>
      </c>
      <c r="J56" s="4">
        <v>4600</v>
      </c>
      <c r="K56" s="8">
        <v>8.9829999999999993E-2</v>
      </c>
      <c r="L56" s="4">
        <v>100</v>
      </c>
      <c r="M56" s="4">
        <f t="shared" si="2"/>
        <v>100</v>
      </c>
      <c r="N56" s="8">
        <f t="shared" si="3"/>
        <v>8.9829999999999988</v>
      </c>
      <c r="O56" s="5" t="s">
        <v>313</v>
      </c>
    </row>
    <row r="57" spans="1:15" x14ac:dyDescent="0.3">
      <c r="A57" s="4">
        <v>52</v>
      </c>
      <c r="B57" s="5" t="s">
        <v>314</v>
      </c>
      <c r="C57" s="4">
        <v>1</v>
      </c>
      <c r="D57" s="4" t="s">
        <v>315</v>
      </c>
      <c r="E57" s="5" t="s">
        <v>316</v>
      </c>
      <c r="F57" s="4" t="s">
        <v>317</v>
      </c>
      <c r="G57" s="4" t="s">
        <v>271</v>
      </c>
      <c r="H57" s="4" t="s">
        <v>318</v>
      </c>
      <c r="I57" s="6" t="s">
        <v>24</v>
      </c>
      <c r="J57" s="4">
        <v>78295</v>
      </c>
      <c r="K57" s="8">
        <v>0.16631000000000001</v>
      </c>
      <c r="L57" s="4">
        <v>50</v>
      </c>
      <c r="M57" s="4">
        <f t="shared" si="2"/>
        <v>50</v>
      </c>
      <c r="N57" s="8">
        <f t="shared" si="3"/>
        <v>8.3155000000000001</v>
      </c>
      <c r="O57" s="5" t="s">
        <v>319</v>
      </c>
    </row>
    <row r="58" spans="1:15" x14ac:dyDescent="0.3">
      <c r="A58" s="4">
        <v>53</v>
      </c>
      <c r="B58" s="5" t="s">
        <v>320</v>
      </c>
      <c r="C58" s="4">
        <v>1</v>
      </c>
      <c r="D58" s="4" t="s">
        <v>321</v>
      </c>
      <c r="E58" s="5" t="s">
        <v>322</v>
      </c>
      <c r="F58" s="4" t="s">
        <v>270</v>
      </c>
      <c r="G58" s="4" t="s">
        <v>271</v>
      </c>
      <c r="H58" s="4" t="s">
        <v>323</v>
      </c>
      <c r="I58" s="6" t="s">
        <v>24</v>
      </c>
      <c r="J58" s="4">
        <v>11200</v>
      </c>
      <c r="K58" s="8">
        <v>8.9829999999999993E-2</v>
      </c>
      <c r="L58" s="4">
        <v>100</v>
      </c>
      <c r="M58" s="4">
        <f t="shared" si="2"/>
        <v>100</v>
      </c>
      <c r="N58" s="8">
        <f t="shared" si="3"/>
        <v>8.9829999999999988</v>
      </c>
      <c r="O58" s="5" t="s">
        <v>324</v>
      </c>
    </row>
    <row r="59" spans="1:15" x14ac:dyDescent="0.3">
      <c r="A59" s="4">
        <v>54</v>
      </c>
      <c r="B59" s="5" t="s">
        <v>325</v>
      </c>
      <c r="C59" s="4">
        <v>1</v>
      </c>
      <c r="D59" s="4" t="s">
        <v>326</v>
      </c>
      <c r="E59" s="5" t="s">
        <v>327</v>
      </c>
      <c r="F59" s="4" t="s">
        <v>270</v>
      </c>
      <c r="G59" s="4" t="s">
        <v>271</v>
      </c>
      <c r="H59" s="4" t="s">
        <v>328</v>
      </c>
      <c r="I59" s="6" t="s">
        <v>24</v>
      </c>
      <c r="J59" s="4">
        <v>25918</v>
      </c>
      <c r="K59" s="8">
        <v>8.9829999999999993E-2</v>
      </c>
      <c r="L59" s="4">
        <v>100</v>
      </c>
      <c r="M59" s="4">
        <f t="shared" si="2"/>
        <v>100</v>
      </c>
      <c r="N59" s="8">
        <f t="shared" si="3"/>
        <v>8.9829999999999988</v>
      </c>
      <c r="O59" s="5" t="s">
        <v>329</v>
      </c>
    </row>
    <row r="60" spans="1:15" x14ac:dyDescent="0.3">
      <c r="A60" s="4">
        <v>55</v>
      </c>
      <c r="B60" s="5" t="s">
        <v>330</v>
      </c>
      <c r="C60" s="4">
        <v>1</v>
      </c>
      <c r="D60" s="4" t="s">
        <v>331</v>
      </c>
      <c r="E60" s="5" t="s">
        <v>332</v>
      </c>
      <c r="F60" s="4" t="s">
        <v>270</v>
      </c>
      <c r="G60" s="4" t="s">
        <v>271</v>
      </c>
      <c r="H60" s="4" t="s">
        <v>333</v>
      </c>
      <c r="I60" s="6" t="s">
        <v>24</v>
      </c>
      <c r="J60" s="4">
        <v>236313</v>
      </c>
      <c r="K60" s="8">
        <v>8.9829999999999993E-2</v>
      </c>
      <c r="L60" s="4">
        <v>100</v>
      </c>
      <c r="M60" s="4">
        <f t="shared" si="2"/>
        <v>100</v>
      </c>
      <c r="N60" s="8">
        <f t="shared" si="3"/>
        <v>8.9829999999999988</v>
      </c>
      <c r="O60" s="5" t="s">
        <v>334</v>
      </c>
    </row>
    <row r="61" spans="1:15" ht="39.6" x14ac:dyDescent="0.3">
      <c r="A61" s="4">
        <v>56</v>
      </c>
      <c r="B61" s="5" t="s">
        <v>335</v>
      </c>
      <c r="C61" s="4">
        <v>18</v>
      </c>
      <c r="D61" s="4" t="s">
        <v>336</v>
      </c>
      <c r="E61" s="5" t="s">
        <v>337</v>
      </c>
      <c r="F61" s="4" t="s">
        <v>270</v>
      </c>
      <c r="G61" s="4" t="s">
        <v>271</v>
      </c>
      <c r="H61" s="4" t="s">
        <v>338</v>
      </c>
      <c r="I61" s="6" t="s">
        <v>24</v>
      </c>
      <c r="J61" s="4">
        <v>18318</v>
      </c>
      <c r="K61" s="8">
        <v>8.9829999999999993E-2</v>
      </c>
      <c r="L61" s="4">
        <v>100</v>
      </c>
      <c r="M61" s="4">
        <f t="shared" si="2"/>
        <v>100</v>
      </c>
      <c r="N61" s="8">
        <f t="shared" si="3"/>
        <v>8.9829999999999988</v>
      </c>
      <c r="O61" s="5" t="s">
        <v>339</v>
      </c>
    </row>
    <row r="62" spans="1:15" x14ac:dyDescent="0.3">
      <c r="A62" s="4">
        <v>57</v>
      </c>
      <c r="B62" s="5" t="s">
        <v>340</v>
      </c>
      <c r="C62" s="4">
        <v>1</v>
      </c>
      <c r="D62" s="4" t="s">
        <v>341</v>
      </c>
      <c r="E62" s="5" t="s">
        <v>342</v>
      </c>
      <c r="F62" s="4" t="s">
        <v>270</v>
      </c>
      <c r="G62" s="4" t="s">
        <v>271</v>
      </c>
      <c r="H62" s="4" t="s">
        <v>343</v>
      </c>
      <c r="I62" s="6" t="s">
        <v>24</v>
      </c>
      <c r="J62" s="7">
        <v>0</v>
      </c>
      <c r="K62" s="8">
        <v>8.9829999999999993E-2</v>
      </c>
      <c r="L62" s="4">
        <v>100</v>
      </c>
      <c r="M62" s="4">
        <f t="shared" si="2"/>
        <v>100</v>
      </c>
      <c r="N62" s="8">
        <f t="shared" si="3"/>
        <v>8.9829999999999988</v>
      </c>
      <c r="O62" s="5" t="s">
        <v>344</v>
      </c>
    </row>
    <row r="63" spans="1:15" ht="39.6" x14ac:dyDescent="0.3">
      <c r="A63" s="4">
        <v>58</v>
      </c>
      <c r="B63" s="5" t="s">
        <v>345</v>
      </c>
      <c r="C63" s="4">
        <v>16</v>
      </c>
      <c r="D63" s="4" t="s">
        <v>275</v>
      </c>
      <c r="E63" s="5" t="s">
        <v>276</v>
      </c>
      <c r="F63" s="4" t="s">
        <v>270</v>
      </c>
      <c r="G63" s="4" t="s">
        <v>43</v>
      </c>
      <c r="H63" s="4" t="s">
        <v>346</v>
      </c>
      <c r="I63" s="6" t="s">
        <v>24</v>
      </c>
      <c r="J63" s="4">
        <v>57089</v>
      </c>
      <c r="K63" s="8">
        <v>0.11919</v>
      </c>
      <c r="L63" s="4">
        <v>50</v>
      </c>
      <c r="M63" s="4">
        <f t="shared" si="2"/>
        <v>50</v>
      </c>
      <c r="N63" s="8">
        <f t="shared" si="3"/>
        <v>5.9595000000000002</v>
      </c>
      <c r="O63" s="5" t="s">
        <v>347</v>
      </c>
    </row>
    <row r="64" spans="1:15" ht="39.6" x14ac:dyDescent="0.3">
      <c r="A64" s="4">
        <v>59</v>
      </c>
      <c r="B64" s="5" t="s">
        <v>348</v>
      </c>
      <c r="C64" s="4">
        <v>16</v>
      </c>
      <c r="D64" s="4" t="s">
        <v>349</v>
      </c>
      <c r="E64" s="5" t="s">
        <v>350</v>
      </c>
      <c r="F64" s="4" t="s">
        <v>351</v>
      </c>
      <c r="G64" s="4" t="s">
        <v>271</v>
      </c>
      <c r="H64" s="4" t="s">
        <v>352</v>
      </c>
      <c r="I64" s="6" t="s">
        <v>24</v>
      </c>
      <c r="J64" s="7">
        <v>0</v>
      </c>
      <c r="K64" s="8"/>
      <c r="L64" s="4">
        <v>2</v>
      </c>
      <c r="M64" s="4">
        <f t="shared" si="2"/>
        <v>32</v>
      </c>
      <c r="N64" s="8" t="str">
        <f t="shared" si="3"/>
        <v/>
      </c>
      <c r="O64" s="5" t="s">
        <v>353</v>
      </c>
    </row>
    <row r="65" spans="1:15" ht="26.4" x14ac:dyDescent="0.3">
      <c r="A65" s="4">
        <v>60</v>
      </c>
      <c r="B65" s="5" t="s">
        <v>354</v>
      </c>
      <c r="C65" s="4">
        <v>1</v>
      </c>
      <c r="D65" s="4" t="s">
        <v>355</v>
      </c>
      <c r="E65" s="5" t="s">
        <v>356</v>
      </c>
      <c r="F65" s="4" t="s">
        <v>270</v>
      </c>
      <c r="G65" s="4" t="s">
        <v>271</v>
      </c>
      <c r="H65" s="4" t="s">
        <v>357</v>
      </c>
      <c r="I65" s="6" t="s">
        <v>24</v>
      </c>
      <c r="J65" s="7">
        <v>0</v>
      </c>
      <c r="K65" s="8">
        <v>0.1181</v>
      </c>
      <c r="L65" s="4">
        <v>50</v>
      </c>
      <c r="M65" s="4">
        <f t="shared" si="2"/>
        <v>50</v>
      </c>
      <c r="N65" s="8">
        <f t="shared" si="3"/>
        <v>5.9050000000000002</v>
      </c>
      <c r="O65" s="5" t="s">
        <v>358</v>
      </c>
    </row>
    <row r="66" spans="1:15" x14ac:dyDescent="0.3">
      <c r="A66" s="4">
        <v>61</v>
      </c>
      <c r="B66" s="5" t="s">
        <v>359</v>
      </c>
      <c r="C66" s="4">
        <v>1</v>
      </c>
      <c r="D66" s="4" t="s">
        <v>360</v>
      </c>
      <c r="E66" s="5" t="s">
        <v>361</v>
      </c>
      <c r="F66" s="4" t="s">
        <v>292</v>
      </c>
      <c r="G66" s="4" t="s">
        <v>271</v>
      </c>
      <c r="H66" s="4" t="s">
        <v>362</v>
      </c>
      <c r="I66" s="6" t="s">
        <v>24</v>
      </c>
      <c r="J66" s="4">
        <v>1860</v>
      </c>
      <c r="K66" s="8">
        <v>8.9829999999999993E-2</v>
      </c>
      <c r="L66" s="4">
        <v>100</v>
      </c>
      <c r="M66" s="4">
        <f t="shared" si="2"/>
        <v>100</v>
      </c>
      <c r="N66" s="8">
        <f t="shared" si="3"/>
        <v>8.9829999999999988</v>
      </c>
      <c r="O66" s="5" t="s">
        <v>363</v>
      </c>
    </row>
    <row r="67" spans="1:15" ht="26.4" x14ac:dyDescent="0.3">
      <c r="A67" s="4">
        <v>62</v>
      </c>
      <c r="B67" s="5" t="s">
        <v>364</v>
      </c>
      <c r="C67" s="4">
        <v>2</v>
      </c>
      <c r="D67" s="4" t="s">
        <v>365</v>
      </c>
      <c r="E67" s="5" t="s">
        <v>366</v>
      </c>
      <c r="F67" s="4" t="s">
        <v>367</v>
      </c>
      <c r="G67" s="4" t="s">
        <v>368</v>
      </c>
      <c r="H67" s="4" t="s">
        <v>369</v>
      </c>
      <c r="I67" s="6" t="s">
        <v>24</v>
      </c>
      <c r="J67" s="4">
        <v>862040</v>
      </c>
      <c r="K67" s="8">
        <v>3.6352799999999998</v>
      </c>
      <c r="L67" s="4">
        <v>2</v>
      </c>
      <c r="M67" s="4">
        <f t="shared" si="2"/>
        <v>4</v>
      </c>
      <c r="N67" s="8">
        <f t="shared" si="3"/>
        <v>14.541119999999999</v>
      </c>
      <c r="O67" s="5" t="s">
        <v>370</v>
      </c>
    </row>
    <row r="68" spans="1:15" x14ac:dyDescent="0.3">
      <c r="A68" s="4">
        <v>63</v>
      </c>
      <c r="B68" s="5" t="s">
        <v>371</v>
      </c>
      <c r="C68" s="4">
        <v>1</v>
      </c>
      <c r="D68" s="4" t="s">
        <v>372</v>
      </c>
      <c r="E68" s="5" t="s">
        <v>373</v>
      </c>
      <c r="F68" s="4" t="s">
        <v>374</v>
      </c>
      <c r="G68" s="4" t="s">
        <v>368</v>
      </c>
      <c r="H68" s="4" t="s">
        <v>375</v>
      </c>
      <c r="I68" s="6" t="s">
        <v>24</v>
      </c>
      <c r="J68" s="4">
        <v>211</v>
      </c>
      <c r="K68" s="8">
        <v>20.744199999999999</v>
      </c>
      <c r="L68" s="4">
        <v>1</v>
      </c>
      <c r="M68" s="4">
        <f t="shared" si="2"/>
        <v>2</v>
      </c>
      <c r="N68" s="8">
        <f t="shared" si="3"/>
        <v>41.488399999999999</v>
      </c>
      <c r="O68" s="5" t="s">
        <v>376</v>
      </c>
    </row>
    <row r="69" spans="1:15" ht="26.4" x14ac:dyDescent="0.3">
      <c r="A69" s="4">
        <v>64</v>
      </c>
      <c r="B69" s="5" t="s">
        <v>377</v>
      </c>
      <c r="C69" s="4">
        <v>3</v>
      </c>
      <c r="D69" s="4" t="s">
        <v>378</v>
      </c>
      <c r="E69" s="5" t="s">
        <v>379</v>
      </c>
      <c r="F69" s="4" t="s">
        <v>270</v>
      </c>
      <c r="G69" s="4" t="s">
        <v>380</v>
      </c>
      <c r="H69" s="4" t="s">
        <v>381</v>
      </c>
      <c r="I69" s="6" t="s">
        <v>24</v>
      </c>
      <c r="J69" s="7">
        <v>0</v>
      </c>
      <c r="K69" s="8">
        <v>5.4816599999999998</v>
      </c>
      <c r="L69" s="4">
        <v>5</v>
      </c>
      <c r="M69" s="4">
        <f t="shared" si="2"/>
        <v>6</v>
      </c>
      <c r="N69" s="8">
        <f t="shared" si="3"/>
        <v>32.889960000000002</v>
      </c>
      <c r="O69" s="5" t="s">
        <v>382</v>
      </c>
    </row>
    <row r="70" spans="1:15" x14ac:dyDescent="0.3">
      <c r="A70" s="4">
        <v>65</v>
      </c>
      <c r="B70" s="5" t="s">
        <v>383</v>
      </c>
      <c r="C70" s="4">
        <v>1</v>
      </c>
      <c r="D70" s="4" t="s">
        <v>384</v>
      </c>
      <c r="E70" s="5" t="s">
        <v>385</v>
      </c>
      <c r="F70" s="4" t="s">
        <v>386</v>
      </c>
      <c r="G70" s="4" t="s">
        <v>177</v>
      </c>
      <c r="H70" s="4" t="s">
        <v>387</v>
      </c>
      <c r="I70" s="6" t="s">
        <v>24</v>
      </c>
      <c r="J70" s="7">
        <v>0</v>
      </c>
      <c r="K70" s="8">
        <v>173.315</v>
      </c>
      <c r="L70" s="4">
        <v>1</v>
      </c>
      <c r="M70" s="4">
        <f t="shared" ref="M70:M101" si="4">IF(L70="",C70*$C$3,MAX(C70*$C$3,L70))</f>
        <v>2</v>
      </c>
      <c r="N70" s="8">
        <f t="shared" ref="N70:N101" si="5">IF(K70="","",K70*M70)</f>
        <v>346.63</v>
      </c>
      <c r="O70" s="5" t="s">
        <v>388</v>
      </c>
    </row>
    <row r="71" spans="1:15" x14ac:dyDescent="0.3">
      <c r="A71" s="4">
        <v>66</v>
      </c>
      <c r="B71" s="5" t="s">
        <v>389</v>
      </c>
      <c r="C71" s="4">
        <v>1</v>
      </c>
      <c r="D71" s="4" t="s">
        <v>390</v>
      </c>
      <c r="E71" s="5" t="s">
        <v>391</v>
      </c>
      <c r="F71" s="4" t="s">
        <v>141</v>
      </c>
      <c r="G71" s="4" t="s">
        <v>177</v>
      </c>
      <c r="H71" s="4" t="s">
        <v>392</v>
      </c>
      <c r="I71" s="6" t="s">
        <v>24</v>
      </c>
      <c r="J71" s="4">
        <v>2474</v>
      </c>
      <c r="K71" s="8">
        <v>36.246200000000002</v>
      </c>
      <c r="L71" s="4">
        <v>1</v>
      </c>
      <c r="M71" s="4">
        <f t="shared" si="4"/>
        <v>2</v>
      </c>
      <c r="N71" s="8">
        <f t="shared" si="5"/>
        <v>72.492400000000004</v>
      </c>
      <c r="O71" s="5" t="s">
        <v>393</v>
      </c>
    </row>
    <row r="72" spans="1:15" x14ac:dyDescent="0.3">
      <c r="A72" s="4">
        <v>67</v>
      </c>
      <c r="B72" s="5" t="s">
        <v>394</v>
      </c>
      <c r="C72" s="4">
        <v>1</v>
      </c>
      <c r="D72" s="4" t="s">
        <v>395</v>
      </c>
      <c r="E72" s="5" t="s">
        <v>396</v>
      </c>
      <c r="F72" s="4" t="s">
        <v>397</v>
      </c>
      <c r="G72" s="4" t="s">
        <v>398</v>
      </c>
      <c r="H72" s="4" t="s">
        <v>395</v>
      </c>
      <c r="I72" s="6" t="s">
        <v>24</v>
      </c>
      <c r="J72" s="4">
        <v>3327</v>
      </c>
      <c r="K72" s="8">
        <v>166.649</v>
      </c>
      <c r="L72" s="4">
        <v>1</v>
      </c>
      <c r="M72" s="4">
        <f t="shared" si="4"/>
        <v>2</v>
      </c>
      <c r="N72" s="8">
        <f t="shared" si="5"/>
        <v>333.298</v>
      </c>
      <c r="O72" s="5"/>
    </row>
    <row r="73" spans="1:15" x14ac:dyDescent="0.3">
      <c r="A73" s="4">
        <v>68</v>
      </c>
      <c r="B73" s="5" t="s">
        <v>399</v>
      </c>
      <c r="C73" s="4">
        <v>1</v>
      </c>
      <c r="D73" s="4" t="s">
        <v>400</v>
      </c>
      <c r="E73" s="5" t="s">
        <v>401</v>
      </c>
      <c r="F73" s="4" t="s">
        <v>402</v>
      </c>
      <c r="G73" s="4" t="s">
        <v>177</v>
      </c>
      <c r="H73" s="4" t="s">
        <v>403</v>
      </c>
      <c r="I73" s="6" t="s">
        <v>24</v>
      </c>
      <c r="J73" s="4">
        <v>760</v>
      </c>
      <c r="K73" s="8">
        <v>93.538700000000006</v>
      </c>
      <c r="L73" s="4">
        <v>1</v>
      </c>
      <c r="M73" s="4">
        <f t="shared" si="4"/>
        <v>2</v>
      </c>
      <c r="N73" s="8">
        <f t="shared" si="5"/>
        <v>187.07740000000001</v>
      </c>
      <c r="O73" s="5"/>
    </row>
    <row r="74" spans="1:15" x14ac:dyDescent="0.3">
      <c r="A74" s="4">
        <v>69</v>
      </c>
      <c r="B74" s="5" t="s">
        <v>404</v>
      </c>
      <c r="C74" s="4">
        <v>1</v>
      </c>
      <c r="D74" s="4" t="s">
        <v>405</v>
      </c>
      <c r="E74" s="5" t="s">
        <v>406</v>
      </c>
      <c r="F74" s="4" t="s">
        <v>407</v>
      </c>
      <c r="G74" s="4" t="s">
        <v>408</v>
      </c>
      <c r="H74" s="4" t="s">
        <v>409</v>
      </c>
      <c r="I74" s="6" t="s">
        <v>24</v>
      </c>
      <c r="J74" s="4">
        <v>262737</v>
      </c>
      <c r="K74" s="8">
        <v>12.1576</v>
      </c>
      <c r="L74" s="4">
        <v>1</v>
      </c>
      <c r="M74" s="4">
        <f t="shared" si="4"/>
        <v>2</v>
      </c>
      <c r="N74" s="8">
        <f t="shared" si="5"/>
        <v>24.315200000000001</v>
      </c>
      <c r="O74" s="5" t="s">
        <v>410</v>
      </c>
    </row>
    <row r="75" spans="1:15" ht="26.4" x14ac:dyDescent="0.3">
      <c r="A75" s="4">
        <v>70</v>
      </c>
      <c r="B75" s="5" t="s">
        <v>411</v>
      </c>
      <c r="C75" s="4">
        <v>1</v>
      </c>
      <c r="D75" s="4" t="s">
        <v>412</v>
      </c>
      <c r="E75" s="5" t="s">
        <v>413</v>
      </c>
      <c r="F75" s="4" t="s">
        <v>414</v>
      </c>
      <c r="G75" s="4" t="s">
        <v>177</v>
      </c>
      <c r="H75" s="4" t="s">
        <v>415</v>
      </c>
      <c r="I75" s="6" t="s">
        <v>24</v>
      </c>
      <c r="J75" s="7">
        <v>0</v>
      </c>
      <c r="K75" s="8"/>
      <c r="L75" s="4">
        <v>1</v>
      </c>
      <c r="M75" s="4">
        <f t="shared" si="4"/>
        <v>2</v>
      </c>
      <c r="N75" s="8" t="str">
        <f t="shared" si="5"/>
        <v/>
      </c>
      <c r="O75" s="5" t="s">
        <v>416</v>
      </c>
    </row>
    <row r="76" spans="1:15" ht="26.4" x14ac:dyDescent="0.3">
      <c r="A76" s="4">
        <v>71</v>
      </c>
      <c r="B76" s="5" t="s">
        <v>417</v>
      </c>
      <c r="C76" s="4">
        <v>1</v>
      </c>
      <c r="D76" s="4" t="s">
        <v>418</v>
      </c>
      <c r="E76" s="5" t="s">
        <v>419</v>
      </c>
      <c r="F76" s="4" t="s">
        <v>420</v>
      </c>
      <c r="G76" s="4" t="s">
        <v>421</v>
      </c>
      <c r="H76" s="4" t="s">
        <v>422</v>
      </c>
      <c r="I76" s="6" t="s">
        <v>24</v>
      </c>
      <c r="J76" s="4">
        <v>2955</v>
      </c>
      <c r="K76" s="8">
        <v>7.0458400000000001</v>
      </c>
      <c r="L76" s="4">
        <v>1</v>
      </c>
      <c r="M76" s="4">
        <f t="shared" si="4"/>
        <v>2</v>
      </c>
      <c r="N76" s="8">
        <f t="shared" si="5"/>
        <v>14.09168</v>
      </c>
      <c r="O76" s="5" t="s">
        <v>423</v>
      </c>
    </row>
    <row r="77" spans="1:15" x14ac:dyDescent="0.3">
      <c r="A77" s="4">
        <v>72</v>
      </c>
      <c r="B77" s="5" t="s">
        <v>424</v>
      </c>
      <c r="C77" s="4">
        <v>2</v>
      </c>
      <c r="D77" s="4" t="s">
        <v>355</v>
      </c>
      <c r="E77" s="5" t="s">
        <v>356</v>
      </c>
      <c r="F77" s="4" t="s">
        <v>270</v>
      </c>
      <c r="G77" s="4" t="s">
        <v>271</v>
      </c>
      <c r="H77" s="4" t="s">
        <v>357</v>
      </c>
      <c r="I77" s="6" t="s">
        <v>24</v>
      </c>
      <c r="J77" s="4">
        <v>0</v>
      </c>
      <c r="K77" s="8">
        <v>0.1181</v>
      </c>
      <c r="L77" s="4">
        <v>50</v>
      </c>
      <c r="M77" s="4">
        <v>0</v>
      </c>
      <c r="N77" s="8">
        <f t="shared" si="5"/>
        <v>0</v>
      </c>
      <c r="O77" s="5" t="s">
        <v>425</v>
      </c>
    </row>
    <row r="78" spans="1:15" x14ac:dyDescent="0.3">
      <c r="A78" s="4"/>
      <c r="B78" s="5"/>
      <c r="C78" s="4"/>
      <c r="D78" s="4"/>
      <c r="E78" s="5"/>
      <c r="F78" s="4"/>
      <c r="G78" s="4"/>
      <c r="H78" s="4"/>
      <c r="I78" s="4"/>
      <c r="J78" s="4"/>
      <c r="K78" s="8"/>
      <c r="L78" s="4"/>
      <c r="M78" s="9" t="s">
        <v>426</v>
      </c>
      <c r="N78" s="10">
        <f>SUM(N6:N77)</f>
        <v>3213.208500000002</v>
      </c>
      <c r="O78" s="5"/>
    </row>
    <row r="79" spans="1:15" x14ac:dyDescent="0.3">
      <c r="A79" s="4"/>
      <c r="B79" s="5"/>
      <c r="C79" s="4"/>
      <c r="D79" s="4"/>
      <c r="E79" s="5"/>
      <c r="F79" s="4"/>
      <c r="G79" s="4"/>
      <c r="H79" s="4"/>
      <c r="I79" s="4"/>
      <c r="J79" s="4"/>
      <c r="K79" s="8"/>
      <c r="L79" s="4"/>
      <c r="M79" s="4"/>
      <c r="N79" s="8"/>
      <c r="O79" s="5"/>
    </row>
    <row r="80" spans="1:15" ht="15.6" x14ac:dyDescent="0.3">
      <c r="A80" s="11" t="s">
        <v>427</v>
      </c>
      <c r="B80" s="5"/>
      <c r="C80" s="4"/>
      <c r="D80" s="4"/>
      <c r="E80" s="5"/>
      <c r="F80" s="4"/>
      <c r="G80" s="4"/>
      <c r="H80" s="4"/>
      <c r="I80" s="4"/>
      <c r="J80" s="4"/>
      <c r="K80" s="8"/>
      <c r="L80" s="4"/>
      <c r="M80" s="4"/>
      <c r="N80" s="8"/>
      <c r="O80" s="5"/>
    </row>
    <row r="81" spans="1:15" x14ac:dyDescent="0.3">
      <c r="A81" s="12" t="s">
        <v>3</v>
      </c>
      <c r="B81" s="13" t="s">
        <v>428</v>
      </c>
      <c r="C81" s="12" t="s">
        <v>5</v>
      </c>
      <c r="D81" s="12" t="s">
        <v>429</v>
      </c>
      <c r="E81" s="13" t="s">
        <v>7</v>
      </c>
      <c r="F81" s="12"/>
      <c r="G81" s="12" t="s">
        <v>9</v>
      </c>
      <c r="H81" s="12" t="s">
        <v>10</v>
      </c>
      <c r="I81" s="12" t="s">
        <v>11</v>
      </c>
      <c r="J81" s="12" t="s">
        <v>12</v>
      </c>
      <c r="K81" s="14" t="s">
        <v>13</v>
      </c>
      <c r="L81" s="12" t="s">
        <v>14</v>
      </c>
      <c r="M81" s="12" t="s">
        <v>15</v>
      </c>
      <c r="N81" s="14" t="s">
        <v>16</v>
      </c>
      <c r="O81" s="13" t="s">
        <v>17</v>
      </c>
    </row>
    <row r="82" spans="1:15" x14ac:dyDescent="0.3">
      <c r="A82" s="4">
        <v>1</v>
      </c>
      <c r="B82" s="5" t="s">
        <v>186</v>
      </c>
      <c r="C82" s="4">
        <v>1</v>
      </c>
      <c r="D82" s="4" t="s">
        <v>430</v>
      </c>
      <c r="E82" s="5" t="s">
        <v>431</v>
      </c>
      <c r="F82" s="4"/>
      <c r="G82" s="4" t="s">
        <v>190</v>
      </c>
      <c r="H82" s="4" t="s">
        <v>432</v>
      </c>
      <c r="I82" s="6" t="s">
        <v>24</v>
      </c>
      <c r="J82" s="4">
        <v>16121</v>
      </c>
      <c r="K82" s="8">
        <v>34.389200000000002</v>
      </c>
      <c r="L82" s="4">
        <v>1</v>
      </c>
      <c r="M82" s="4">
        <f t="shared" ref="M82:M87" si="6">IF(L82="",C82*$C$3,MAX(C82*$C$3,L82))</f>
        <v>2</v>
      </c>
      <c r="N82" s="8">
        <f t="shared" ref="N82:N87" si="7">IF(K82="","",K82*M82)</f>
        <v>68.778400000000005</v>
      </c>
      <c r="O82" s="5"/>
    </row>
    <row r="83" spans="1:15" x14ac:dyDescent="0.3">
      <c r="A83" s="4">
        <v>2</v>
      </c>
      <c r="B83" s="5" t="s">
        <v>193</v>
      </c>
      <c r="C83" s="4">
        <v>1</v>
      </c>
      <c r="D83" s="4" t="s">
        <v>433</v>
      </c>
      <c r="E83" s="5" t="s">
        <v>434</v>
      </c>
      <c r="F83" s="4"/>
      <c r="G83" s="4" t="s">
        <v>190</v>
      </c>
      <c r="H83" s="4" t="s">
        <v>435</v>
      </c>
      <c r="I83" s="6" t="s">
        <v>24</v>
      </c>
      <c r="J83" s="4">
        <v>276</v>
      </c>
      <c r="K83" s="8">
        <v>36.895099999999999</v>
      </c>
      <c r="L83" s="4">
        <v>1</v>
      </c>
      <c r="M83" s="4">
        <f t="shared" si="6"/>
        <v>2</v>
      </c>
      <c r="N83" s="8">
        <f t="shared" si="7"/>
        <v>73.790199999999999</v>
      </c>
      <c r="O83" s="5"/>
    </row>
    <row r="84" spans="1:15" x14ac:dyDescent="0.3">
      <c r="A84" s="4">
        <v>3</v>
      </c>
      <c r="B84" s="5" t="s">
        <v>199</v>
      </c>
      <c r="C84" s="4">
        <v>1</v>
      </c>
      <c r="D84" s="4" t="s">
        <v>436</v>
      </c>
      <c r="E84" s="5" t="s">
        <v>437</v>
      </c>
      <c r="F84" s="4"/>
      <c r="G84" s="4" t="s">
        <v>190</v>
      </c>
      <c r="H84" s="4" t="s">
        <v>438</v>
      </c>
      <c r="I84" s="6" t="s">
        <v>24</v>
      </c>
      <c r="J84" s="4">
        <v>7928</v>
      </c>
      <c r="K84" s="8">
        <v>17.4239</v>
      </c>
      <c r="L84" s="4">
        <v>1</v>
      </c>
      <c r="M84" s="4">
        <f t="shared" si="6"/>
        <v>2</v>
      </c>
      <c r="N84" s="8">
        <f t="shared" si="7"/>
        <v>34.847799999999999</v>
      </c>
      <c r="O84" s="5"/>
    </row>
    <row r="85" spans="1:15" x14ac:dyDescent="0.3">
      <c r="A85" s="4">
        <v>4</v>
      </c>
      <c r="B85" s="5" t="s">
        <v>205</v>
      </c>
      <c r="C85" s="4">
        <v>1</v>
      </c>
      <c r="D85" s="4" t="s">
        <v>439</v>
      </c>
      <c r="E85" s="5" t="s">
        <v>440</v>
      </c>
      <c r="F85" s="4"/>
      <c r="G85" s="4" t="s">
        <v>190</v>
      </c>
      <c r="H85" s="4" t="s">
        <v>441</v>
      </c>
      <c r="I85" s="6" t="s">
        <v>24</v>
      </c>
      <c r="J85" s="4">
        <v>3061</v>
      </c>
      <c r="K85" s="8">
        <v>8.7119400000000002</v>
      </c>
      <c r="L85" s="4">
        <v>1</v>
      </c>
      <c r="M85" s="4">
        <f t="shared" si="6"/>
        <v>2</v>
      </c>
      <c r="N85" s="8">
        <f t="shared" si="7"/>
        <v>17.42388</v>
      </c>
      <c r="O85" s="5"/>
    </row>
    <row r="86" spans="1:15" x14ac:dyDescent="0.3">
      <c r="A86" s="4">
        <v>5</v>
      </c>
      <c r="B86" s="5" t="s">
        <v>211</v>
      </c>
      <c r="C86" s="4">
        <v>1</v>
      </c>
      <c r="D86" s="4" t="s">
        <v>442</v>
      </c>
      <c r="E86" s="5" t="s">
        <v>443</v>
      </c>
      <c r="F86" s="4"/>
      <c r="G86" s="4" t="s">
        <v>190</v>
      </c>
      <c r="H86" s="4" t="s">
        <v>444</v>
      </c>
      <c r="I86" s="6" t="s">
        <v>24</v>
      </c>
      <c r="J86" s="4">
        <v>44</v>
      </c>
      <c r="K86" s="8">
        <v>16.048300000000001</v>
      </c>
      <c r="L86" s="4">
        <v>1</v>
      </c>
      <c r="M86" s="4">
        <f t="shared" si="6"/>
        <v>2</v>
      </c>
      <c r="N86" s="8">
        <f t="shared" si="7"/>
        <v>32.096600000000002</v>
      </c>
      <c r="O86" s="5"/>
    </row>
    <row r="87" spans="1:15" x14ac:dyDescent="0.3">
      <c r="A87" s="4">
        <v>6</v>
      </c>
      <c r="B87" s="5" t="s">
        <v>224</v>
      </c>
      <c r="C87" s="4">
        <v>2</v>
      </c>
      <c r="D87" s="4" t="s">
        <v>445</v>
      </c>
      <c r="E87" s="5" t="s">
        <v>446</v>
      </c>
      <c r="F87" s="4"/>
      <c r="G87" s="4" t="s">
        <v>228</v>
      </c>
      <c r="H87" s="4" t="s">
        <v>447</v>
      </c>
      <c r="I87" s="6" t="s">
        <v>24</v>
      </c>
      <c r="J87" s="4">
        <v>18349</v>
      </c>
      <c r="K87" s="8">
        <v>0.34437000000000001</v>
      </c>
      <c r="L87" s="4">
        <v>10</v>
      </c>
      <c r="M87" s="4">
        <f t="shared" si="6"/>
        <v>10</v>
      </c>
      <c r="N87" s="8">
        <f t="shared" si="7"/>
        <v>3.4437000000000002</v>
      </c>
      <c r="O87" s="5" t="s">
        <v>448</v>
      </c>
    </row>
    <row r="88" spans="1:15" x14ac:dyDescent="0.3">
      <c r="A88" s="4"/>
      <c r="B88" s="5"/>
      <c r="C88" s="4"/>
      <c r="D88" s="4"/>
      <c r="E88" s="5"/>
      <c r="F88" s="4"/>
      <c r="G88" s="4"/>
      <c r="H88" s="4"/>
      <c r="I88" s="4"/>
      <c r="J88" s="4"/>
      <c r="K88" s="8"/>
      <c r="L88" s="4"/>
      <c r="M88" s="9" t="s">
        <v>426</v>
      </c>
      <c r="N88" s="10">
        <f>SUM(N82:N87)</f>
        <v>230.38058000000001</v>
      </c>
      <c r="O88" s="5"/>
    </row>
    <row r="89" spans="1:15" x14ac:dyDescent="0.3">
      <c r="A89" s="4"/>
      <c r="B89" s="5"/>
      <c r="C89" s="4"/>
      <c r="D89" s="4"/>
      <c r="E89" s="5"/>
      <c r="F89" s="4"/>
      <c r="G89" s="4"/>
      <c r="H89" s="4"/>
      <c r="I89" s="4"/>
      <c r="J89" s="4"/>
      <c r="K89" s="8"/>
      <c r="L89" s="4"/>
      <c r="M89" s="4"/>
      <c r="N89" s="8"/>
      <c r="O89" s="5"/>
    </row>
    <row r="90" spans="1:15" x14ac:dyDescent="0.3">
      <c r="A90" s="15" t="s">
        <v>449</v>
      </c>
      <c r="B90" s="5"/>
      <c r="C90" s="4"/>
      <c r="D90" s="4"/>
      <c r="E90" s="5"/>
      <c r="F90" s="4"/>
      <c r="G90" s="4"/>
      <c r="H90" s="4"/>
      <c r="I90" s="4"/>
      <c r="J90" s="4"/>
      <c r="K90" s="8"/>
      <c r="L90" s="4"/>
      <c r="M90" s="4"/>
      <c r="N90" s="8"/>
      <c r="O90" s="5"/>
    </row>
    <row r="91" spans="1:15" x14ac:dyDescent="0.3">
      <c r="A91" s="15" t="s">
        <v>450</v>
      </c>
      <c r="B91" s="5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5"/>
    </row>
  </sheetData>
  <autoFilter ref="A5:O77" xr:uid="{00000000-0009-0000-0000-000000000000}"/>
  <mergeCells count="2">
    <mergeCell ref="A1:F1"/>
    <mergeCell ref="A2:H2"/>
  </mergeCells>
  <hyperlinks>
    <hyperlink ref="I6" r:id="rId1" xr:uid="{00000000-0004-0000-0000-000000000000}"/>
    <hyperlink ref="I7" r:id="rId2" xr:uid="{00000000-0004-0000-0000-000001000000}"/>
    <hyperlink ref="I8" r:id="rId3" xr:uid="{00000000-0004-0000-0000-000002000000}"/>
    <hyperlink ref="I9" r:id="rId4" xr:uid="{00000000-0004-0000-0000-000003000000}"/>
    <hyperlink ref="I10" r:id="rId5" xr:uid="{00000000-0004-0000-0000-000004000000}"/>
    <hyperlink ref="I11" r:id="rId6" xr:uid="{00000000-0004-0000-0000-000005000000}"/>
    <hyperlink ref="I12" r:id="rId7" xr:uid="{00000000-0004-0000-0000-000006000000}"/>
    <hyperlink ref="I13" r:id="rId8" xr:uid="{00000000-0004-0000-0000-000007000000}"/>
    <hyperlink ref="I14" r:id="rId9" xr:uid="{00000000-0004-0000-0000-000008000000}"/>
    <hyperlink ref="I15" r:id="rId10" xr:uid="{00000000-0004-0000-0000-000009000000}"/>
    <hyperlink ref="I16" r:id="rId11" xr:uid="{00000000-0004-0000-0000-00000A000000}"/>
    <hyperlink ref="I17" r:id="rId12" xr:uid="{00000000-0004-0000-0000-00000B000000}"/>
    <hyperlink ref="I18" r:id="rId13" xr:uid="{00000000-0004-0000-0000-00000C000000}"/>
    <hyperlink ref="I19" r:id="rId14" xr:uid="{00000000-0004-0000-0000-00000D000000}"/>
    <hyperlink ref="I20" r:id="rId15" xr:uid="{00000000-0004-0000-0000-00000E000000}"/>
    <hyperlink ref="I21" r:id="rId16" xr:uid="{00000000-0004-0000-0000-00000F000000}"/>
    <hyperlink ref="I22" r:id="rId17" xr:uid="{00000000-0004-0000-0000-000010000000}"/>
    <hyperlink ref="I23" r:id="rId18" xr:uid="{00000000-0004-0000-0000-000011000000}"/>
    <hyperlink ref="I24" r:id="rId19" xr:uid="{00000000-0004-0000-0000-000012000000}"/>
    <hyperlink ref="I25" r:id="rId20" xr:uid="{00000000-0004-0000-0000-000013000000}"/>
    <hyperlink ref="I26" r:id="rId21" xr:uid="{00000000-0004-0000-0000-000014000000}"/>
    <hyperlink ref="I27" r:id="rId22" xr:uid="{00000000-0004-0000-0000-000015000000}"/>
    <hyperlink ref="I28" r:id="rId23" xr:uid="{00000000-0004-0000-0000-000016000000}"/>
    <hyperlink ref="I29" r:id="rId24" xr:uid="{00000000-0004-0000-0000-000017000000}"/>
    <hyperlink ref="I30" r:id="rId25" xr:uid="{00000000-0004-0000-0000-000018000000}"/>
    <hyperlink ref="I31" r:id="rId26" xr:uid="{00000000-0004-0000-0000-000019000000}"/>
    <hyperlink ref="I32" r:id="rId27" xr:uid="{00000000-0004-0000-0000-00001A000000}"/>
    <hyperlink ref="I33" r:id="rId28" xr:uid="{00000000-0004-0000-0000-00001B000000}"/>
    <hyperlink ref="I34" r:id="rId29" xr:uid="{00000000-0004-0000-0000-00001C000000}"/>
    <hyperlink ref="I35" r:id="rId30" xr:uid="{00000000-0004-0000-0000-00001D000000}"/>
    <hyperlink ref="I36" r:id="rId31" xr:uid="{00000000-0004-0000-0000-00001E000000}"/>
    <hyperlink ref="I37" r:id="rId32" xr:uid="{00000000-0004-0000-0000-00001F000000}"/>
    <hyperlink ref="I38" r:id="rId33" xr:uid="{00000000-0004-0000-0000-000020000000}"/>
    <hyperlink ref="I39" r:id="rId34" xr:uid="{00000000-0004-0000-0000-000021000000}"/>
    <hyperlink ref="I40" r:id="rId35" xr:uid="{00000000-0004-0000-0000-000022000000}"/>
    <hyperlink ref="I41" r:id="rId36" xr:uid="{00000000-0004-0000-0000-000023000000}"/>
    <hyperlink ref="I42" r:id="rId37" xr:uid="{00000000-0004-0000-0000-000024000000}"/>
    <hyperlink ref="I43" r:id="rId38" xr:uid="{00000000-0004-0000-0000-000025000000}"/>
    <hyperlink ref="I44" r:id="rId39" xr:uid="{00000000-0004-0000-0000-000026000000}"/>
    <hyperlink ref="I45" r:id="rId40" xr:uid="{00000000-0004-0000-0000-000027000000}"/>
    <hyperlink ref="I47" r:id="rId41" xr:uid="{00000000-0004-0000-0000-000028000000}"/>
    <hyperlink ref="I48" r:id="rId42" xr:uid="{00000000-0004-0000-0000-000029000000}"/>
    <hyperlink ref="I49" r:id="rId43" xr:uid="{00000000-0004-0000-0000-00002A000000}"/>
    <hyperlink ref="I50" r:id="rId44" xr:uid="{00000000-0004-0000-0000-00002B000000}"/>
    <hyperlink ref="I51" r:id="rId45" xr:uid="{00000000-0004-0000-0000-00002C000000}"/>
    <hyperlink ref="I52" r:id="rId46" xr:uid="{00000000-0004-0000-0000-00002D000000}"/>
    <hyperlink ref="I53" r:id="rId47" xr:uid="{00000000-0004-0000-0000-00002E000000}"/>
    <hyperlink ref="I54" r:id="rId48" xr:uid="{00000000-0004-0000-0000-00002F000000}"/>
    <hyperlink ref="I55" r:id="rId49" xr:uid="{00000000-0004-0000-0000-000030000000}"/>
    <hyperlink ref="I56" r:id="rId50" xr:uid="{00000000-0004-0000-0000-000031000000}"/>
    <hyperlink ref="I57" r:id="rId51" xr:uid="{00000000-0004-0000-0000-000032000000}"/>
    <hyperlink ref="I58" r:id="rId52" xr:uid="{00000000-0004-0000-0000-000033000000}"/>
    <hyperlink ref="I59" r:id="rId53" xr:uid="{00000000-0004-0000-0000-000034000000}"/>
    <hyperlink ref="I60" r:id="rId54" xr:uid="{00000000-0004-0000-0000-000035000000}"/>
    <hyperlink ref="I61" r:id="rId55" xr:uid="{00000000-0004-0000-0000-000036000000}"/>
    <hyperlink ref="I62" r:id="rId56" xr:uid="{00000000-0004-0000-0000-000037000000}"/>
    <hyperlink ref="I63" r:id="rId57" xr:uid="{00000000-0004-0000-0000-000038000000}"/>
    <hyperlink ref="I64" r:id="rId58" xr:uid="{00000000-0004-0000-0000-000039000000}"/>
    <hyperlink ref="I65" r:id="rId59" xr:uid="{00000000-0004-0000-0000-00003A000000}"/>
    <hyperlink ref="I66" r:id="rId60" xr:uid="{00000000-0004-0000-0000-00003B000000}"/>
    <hyperlink ref="I67" r:id="rId61" xr:uid="{00000000-0004-0000-0000-00003C000000}"/>
    <hyperlink ref="I68" r:id="rId62" xr:uid="{00000000-0004-0000-0000-00003D000000}"/>
    <hyperlink ref="I69" r:id="rId63" xr:uid="{00000000-0004-0000-0000-00003E000000}"/>
    <hyperlink ref="I70" r:id="rId64" xr:uid="{00000000-0004-0000-0000-00003F000000}"/>
    <hyperlink ref="I71" r:id="rId65" xr:uid="{00000000-0004-0000-0000-000040000000}"/>
    <hyperlink ref="I72" r:id="rId66" xr:uid="{00000000-0004-0000-0000-000041000000}"/>
    <hyperlink ref="I73" r:id="rId67" xr:uid="{00000000-0004-0000-0000-000042000000}"/>
    <hyperlink ref="I74" r:id="rId68" xr:uid="{00000000-0004-0000-0000-000043000000}"/>
    <hyperlink ref="I75" r:id="rId69" xr:uid="{00000000-0004-0000-0000-000044000000}"/>
    <hyperlink ref="I76" r:id="rId70" xr:uid="{00000000-0004-0000-0000-000045000000}"/>
    <hyperlink ref="I77" r:id="rId71" xr:uid="{00000000-0004-0000-0000-000046000000}"/>
    <hyperlink ref="I82" r:id="rId72" xr:uid="{00000000-0004-0000-0000-000047000000}"/>
    <hyperlink ref="I83" r:id="rId73" xr:uid="{00000000-0004-0000-0000-000048000000}"/>
    <hyperlink ref="I84" r:id="rId74" xr:uid="{00000000-0004-0000-0000-000049000000}"/>
    <hyperlink ref="I85" r:id="rId75" xr:uid="{00000000-0004-0000-0000-00004A000000}"/>
    <hyperlink ref="I86" r:id="rId76" xr:uid="{00000000-0004-0000-0000-00004B000000}"/>
    <hyperlink ref="I87" r:id="rId77" xr:uid="{00000000-0004-0000-0000-00004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v4.02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hasan hasan</cp:lastModifiedBy>
  <cp:revision>0</cp:revision>
  <dcterms:created xsi:type="dcterms:W3CDTF">2026-10-13T19:14:07Z</dcterms:created>
  <dcterms:modified xsi:type="dcterms:W3CDTF">2026-10-13T20:52:14Z</dcterms:modified>
  <dc:language>en-US</dc:language>
</cp:coreProperties>
</file>